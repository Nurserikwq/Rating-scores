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\\fs02\ДРЮЛ\1. РЕЕСТР ГАРАНТИЙ И СУБСИДИЙ\ПОРТФЕЛЬ ГАРАНТИЙ\Портфель гарантий 2024 г\"/>
    </mc:Choice>
  </mc:AlternateContent>
  <bookViews>
    <workbookView xWindow="-120" yWindow="-120" windowWidth="29040" windowHeight="15720" tabRatio="683" firstSheet="1" activeTab="2"/>
  </bookViews>
  <sheets>
    <sheet name="Лист4" sheetId="44" state="hidden" r:id="rId1"/>
    <sheet name="Действующие" sheetId="30" r:id="rId2"/>
    <sheet name="Завершенные" sheetId="19" r:id="rId3"/>
    <sheet name="Лист2" sheetId="43" state="hidden" r:id="rId4"/>
    <sheet name="На рассмотрении" sheetId="35" r:id="rId5"/>
    <sheet name="На модерации" sheetId="36" r:id="rId6"/>
    <sheet name="Отказ и расторжение" sheetId="29" r:id="rId7"/>
    <sheet name="Отозванные" sheetId="37" r:id="rId8"/>
    <sheet name="СВОД ПО ГОДАМ" sheetId="32" r:id="rId9"/>
    <sheet name="тех.вопросы" sheetId="45" r:id="rId10"/>
    <sheet name="pipeline" sheetId="46" r:id="rId11"/>
    <sheet name="Лист3" sheetId="34" state="hidden" r:id="rId12"/>
    <sheet name="Лист1" sheetId="31" state="hidden" r:id="rId13"/>
    <sheet name="2022 год" sheetId="21" state="hidden" r:id="rId14"/>
    <sheet name="2021 год " sheetId="22" state="hidden" r:id="rId15"/>
    <sheet name="2020 год" sheetId="23" state="hidden" r:id="rId16"/>
    <sheet name="Этапы сбора документов" sheetId="4" state="hidden" r:id="rId17"/>
  </sheets>
  <definedNames>
    <definedName name="_xlnm._FilterDatabase" localSheetId="1" hidden="1">Действующие!$A$6:$AI$59</definedName>
    <definedName name="_xlnm._FilterDatabase" localSheetId="2" hidden="1">Завершенные!$A$3:$AD$219</definedName>
    <definedName name="_xlnm._FilterDatabase" localSheetId="0" hidden="1">Лист4!$A$1:$AG$264</definedName>
    <definedName name="_xlnm._FilterDatabase" localSheetId="5" hidden="1">'На модерации'!$A$2:$S$73</definedName>
    <definedName name="_xlnm._FilterDatabase" localSheetId="6" hidden="1">'Отказ и расторжение'!$A$57:$N$66</definedName>
    <definedName name="_xlnm.Print_Area" localSheetId="10">pipeline!$A$1:$K$21</definedName>
    <definedName name="_xlnm.Print_Area" localSheetId="1">Действующие!$A$1:$AH$110</definedName>
    <definedName name="_xlnm.Print_Area" localSheetId="2">Завершенные!$A$1:$AH$247</definedName>
    <definedName name="_xlnm.Print_Area" localSheetId="5">'На модерации'!#REF!</definedName>
    <definedName name="_xlnm.Print_Area" localSheetId="4">'На рассмотрении'!$A$1:$AF$5</definedName>
    <definedName name="_xlnm.Print_Area" localSheetId="6">'Отказ и расторжение'!$A$1:$Y$100</definedName>
    <definedName name="_xlnm.Print_Area" localSheetId="7">Отозванные!#REF!</definedName>
    <definedName name="_xlnm.Print_Area" localSheetId="9">тех.вопросы!$A$1:$I$23</definedName>
  </definedNames>
  <calcPr calcId="162913"/>
  <pivotCaches>
    <pivotCache cacheId="2" r:id="rId18"/>
  </pivotCaches>
</workbook>
</file>

<file path=xl/calcChain.xml><?xml version="1.0" encoding="utf-8"?>
<calcChain xmlns="http://schemas.openxmlformats.org/spreadsheetml/2006/main">
  <c r="G238" i="19" l="1"/>
  <c r="G239" i="19"/>
  <c r="G240" i="19"/>
  <c r="G241" i="19"/>
  <c r="G242" i="19"/>
  <c r="G243" i="19"/>
  <c r="G244" i="19"/>
  <c r="G245" i="19"/>
  <c r="G246" i="19"/>
  <c r="G237" i="19"/>
  <c r="F238" i="19"/>
  <c r="F239" i="19"/>
  <c r="F240" i="19"/>
  <c r="F241" i="19"/>
  <c r="F242" i="19"/>
  <c r="F243" i="19"/>
  <c r="F244" i="19"/>
  <c r="F245" i="19"/>
  <c r="F246" i="19"/>
  <c r="F237" i="19"/>
  <c r="E238" i="19"/>
  <c r="E239" i="19"/>
  <c r="E240" i="19"/>
  <c r="E241" i="19"/>
  <c r="E242" i="19"/>
  <c r="E243" i="19"/>
  <c r="E244" i="19"/>
  <c r="E245" i="19"/>
  <c r="E246" i="19"/>
  <c r="E237" i="19"/>
  <c r="D238" i="19"/>
  <c r="D239" i="19"/>
  <c r="D240" i="19"/>
  <c r="D241" i="19"/>
  <c r="D242" i="19"/>
  <c r="D243" i="19"/>
  <c r="D244" i="19"/>
  <c r="D245" i="19"/>
  <c r="D246" i="19"/>
  <c r="D237" i="19"/>
  <c r="C238" i="19"/>
  <c r="C239" i="19"/>
  <c r="C240" i="19"/>
  <c r="C241" i="19"/>
  <c r="C242" i="19"/>
  <c r="C243" i="19"/>
  <c r="C244" i="19"/>
  <c r="C245" i="19"/>
  <c r="C246" i="19"/>
  <c r="C237" i="19"/>
  <c r="J218" i="19" l="1"/>
  <c r="E223" i="19" s="1"/>
  <c r="I218" i="19"/>
  <c r="F223" i="19" s="1"/>
  <c r="P218" i="19"/>
  <c r="Y218" i="19"/>
  <c r="AA218" i="19"/>
  <c r="AM218" i="19"/>
  <c r="D223" i="19" s="1"/>
  <c r="AM4" i="19"/>
  <c r="AM5" i="19"/>
  <c r="AM6" i="19"/>
  <c r="AM7" i="19"/>
  <c r="AM8" i="19"/>
  <c r="AM9" i="19"/>
  <c r="AM10" i="19"/>
  <c r="AM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9" i="19"/>
  <c r="AM40" i="19"/>
  <c r="AM41" i="19"/>
  <c r="AM42" i="19"/>
  <c r="AM43" i="19"/>
  <c r="AM44" i="19"/>
  <c r="AM46" i="19"/>
  <c r="AM47" i="19"/>
  <c r="AM48" i="19"/>
  <c r="AM49" i="19"/>
  <c r="AM50" i="19"/>
  <c r="AM51" i="19"/>
  <c r="AM52" i="19"/>
  <c r="AM53" i="19"/>
  <c r="AM54" i="19"/>
  <c r="AM55" i="19"/>
  <c r="AM56" i="19"/>
  <c r="AM57" i="19"/>
  <c r="AM59" i="19"/>
  <c r="AM60" i="19"/>
  <c r="AM61" i="19"/>
  <c r="AM62" i="19"/>
  <c r="AM63" i="19"/>
  <c r="AM64" i="19"/>
  <c r="AM65" i="19"/>
  <c r="AM67" i="19"/>
  <c r="AM68" i="19"/>
  <c r="AM69" i="19"/>
  <c r="AM70" i="19"/>
  <c r="AM71" i="19"/>
  <c r="AM72" i="19"/>
  <c r="AM73" i="19"/>
  <c r="AM74" i="19"/>
  <c r="AM75" i="19"/>
  <c r="AM76" i="19"/>
  <c r="AM77" i="19"/>
  <c r="AM78" i="19"/>
  <c r="AM79" i="19"/>
  <c r="AM80" i="19"/>
  <c r="AM81" i="19"/>
  <c r="AM82" i="19"/>
  <c r="AM83" i="19"/>
  <c r="AM84" i="19"/>
  <c r="AM85" i="19"/>
  <c r="AM86" i="19"/>
  <c r="AM87" i="19"/>
  <c r="AM88" i="19"/>
  <c r="AM89" i="19"/>
  <c r="AM90" i="19"/>
  <c r="AM91" i="19"/>
  <c r="AM92" i="19"/>
  <c r="AM93" i="19"/>
  <c r="AM94" i="19"/>
  <c r="AM95" i="19"/>
  <c r="AM96" i="19"/>
  <c r="AM97" i="19"/>
  <c r="AM98" i="19"/>
  <c r="AM99" i="19"/>
  <c r="AM100" i="19"/>
  <c r="AM101" i="19"/>
  <c r="AM102" i="19"/>
  <c r="AM103" i="19"/>
  <c r="AM104" i="19"/>
  <c r="AM105" i="19"/>
  <c r="AM106" i="19"/>
  <c r="AM107" i="19"/>
  <c r="AM109" i="19"/>
  <c r="AM110" i="19"/>
  <c r="AM111" i="19"/>
  <c r="AM112" i="19"/>
  <c r="AM113" i="19"/>
  <c r="AM114" i="19"/>
  <c r="AM115" i="19"/>
  <c r="AM116" i="19"/>
  <c r="AM117" i="19"/>
  <c r="AM119" i="19"/>
  <c r="AM120" i="19"/>
  <c r="AM121" i="19"/>
  <c r="AM122" i="19"/>
  <c r="AM123" i="19"/>
  <c r="AM124" i="19"/>
  <c r="AM125" i="19"/>
  <c r="AM126" i="19"/>
  <c r="AM128" i="19"/>
  <c r="AM129" i="19"/>
  <c r="AM130" i="19"/>
  <c r="AM131" i="19"/>
  <c r="AM133" i="19"/>
  <c r="AM135" i="19"/>
  <c r="AM136" i="19"/>
  <c r="AM137" i="19"/>
  <c r="AM138" i="19"/>
  <c r="AM139" i="19"/>
  <c r="AM140" i="19"/>
  <c r="AM141" i="19"/>
  <c r="AM142" i="19"/>
  <c r="AM143" i="19"/>
  <c r="AM145" i="19"/>
  <c r="AM146" i="19"/>
  <c r="AM147" i="19"/>
  <c r="AM148" i="19"/>
  <c r="AM149" i="19"/>
  <c r="AM151" i="19"/>
  <c r="AM152" i="19"/>
  <c r="AM153" i="19"/>
  <c r="AM155" i="19"/>
  <c r="AM156" i="19"/>
  <c r="AM157" i="19"/>
  <c r="AM159" i="19"/>
  <c r="AM161" i="19"/>
  <c r="AM162" i="19"/>
  <c r="AM163" i="19"/>
  <c r="AM164" i="19"/>
  <c r="AM165" i="19"/>
  <c r="AM167" i="19"/>
  <c r="AM168" i="19"/>
  <c r="AM169" i="19"/>
  <c r="AM170" i="19"/>
  <c r="AM171" i="19"/>
  <c r="AM172" i="19"/>
  <c r="AM173" i="19"/>
  <c r="AM174" i="19"/>
  <c r="AM175" i="19"/>
  <c r="AM176" i="19"/>
  <c r="AM177" i="19"/>
  <c r="AM178" i="19"/>
  <c r="AM179" i="19"/>
  <c r="AM183" i="19"/>
  <c r="AM184" i="19"/>
  <c r="AM185" i="19"/>
  <c r="AM188" i="19"/>
  <c r="AM189" i="19"/>
  <c r="AM190" i="19"/>
  <c r="AM191" i="19"/>
  <c r="AM192" i="19"/>
  <c r="AM193" i="19"/>
  <c r="AM194" i="19"/>
  <c r="AM195" i="19"/>
  <c r="AM197" i="19"/>
  <c r="AM198" i="19"/>
  <c r="AM200" i="19"/>
  <c r="AM201" i="19"/>
  <c r="AM202" i="19"/>
  <c r="AM203" i="19"/>
  <c r="AM204" i="19"/>
  <c r="AM205" i="19"/>
  <c r="AM206" i="19"/>
  <c r="AM207" i="19"/>
  <c r="AM209" i="19"/>
  <c r="AM210" i="19"/>
  <c r="AM211" i="19"/>
  <c r="AM212" i="19"/>
  <c r="AM213" i="19"/>
  <c r="AM214" i="19"/>
  <c r="AM215" i="19"/>
  <c r="AM216" i="19"/>
  <c r="AL4" i="19"/>
  <c r="AL5" i="19"/>
  <c r="AL6" i="19"/>
  <c r="AL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56" i="19"/>
  <c r="AL57" i="19"/>
  <c r="AL58" i="19"/>
  <c r="AL59" i="19"/>
  <c r="AL60" i="19"/>
  <c r="AL61" i="19"/>
  <c r="AL62" i="19"/>
  <c r="AL63" i="19"/>
  <c r="AL64" i="19"/>
  <c r="AL65" i="19"/>
  <c r="AL66" i="19"/>
  <c r="AL67" i="19"/>
  <c r="AL68" i="19"/>
  <c r="AL69" i="19"/>
  <c r="AL70" i="19"/>
  <c r="AL71" i="19"/>
  <c r="AL72" i="19"/>
  <c r="AL73" i="19"/>
  <c r="AL74" i="19"/>
  <c r="AL75" i="19"/>
  <c r="AL76" i="19"/>
  <c r="AL77" i="19"/>
  <c r="AL78" i="19"/>
  <c r="AL79" i="19"/>
  <c r="AL80" i="19"/>
  <c r="AL81" i="19"/>
  <c r="AL82" i="19"/>
  <c r="AL83" i="19"/>
  <c r="AL84" i="19"/>
  <c r="AL85" i="19"/>
  <c r="AL86" i="19"/>
  <c r="AL87" i="19"/>
  <c r="AL88" i="19"/>
  <c r="AL89" i="19"/>
  <c r="AL90" i="19"/>
  <c r="AL91" i="19"/>
  <c r="AL92" i="19"/>
  <c r="AL93" i="19"/>
  <c r="AL94" i="19"/>
  <c r="AL95" i="19"/>
  <c r="AL96" i="19"/>
  <c r="AL97" i="19"/>
  <c r="AL98" i="19"/>
  <c r="AL99" i="19"/>
  <c r="AL100" i="19"/>
  <c r="AL101" i="19"/>
  <c r="AL102" i="19"/>
  <c r="AL103" i="19"/>
  <c r="AL104" i="19"/>
  <c r="AL105" i="19"/>
  <c r="AL106" i="19"/>
  <c r="AL107" i="19"/>
  <c r="AL108" i="19"/>
  <c r="AL109" i="19"/>
  <c r="AL110" i="19"/>
  <c r="AL111" i="19"/>
  <c r="AL112" i="19"/>
  <c r="AL113" i="19"/>
  <c r="AL114" i="19"/>
  <c r="AL115" i="19"/>
  <c r="AL116" i="19"/>
  <c r="AL117" i="19"/>
  <c r="AL118" i="19"/>
  <c r="AL119" i="19"/>
  <c r="AL120" i="19"/>
  <c r="AL121" i="19"/>
  <c r="AL122" i="19"/>
  <c r="AL123" i="19"/>
  <c r="AL124" i="19"/>
  <c r="AL125" i="19"/>
  <c r="AL126" i="19"/>
  <c r="AL127" i="19"/>
  <c r="AL128" i="19"/>
  <c r="AL129" i="19"/>
  <c r="AL130" i="19"/>
  <c r="AL131" i="19"/>
  <c r="AL132" i="19"/>
  <c r="AL133" i="19"/>
  <c r="AL134" i="19"/>
  <c r="AL135" i="19"/>
  <c r="AL136" i="19"/>
  <c r="AL137" i="19"/>
  <c r="AL138" i="19"/>
  <c r="AL139" i="19"/>
  <c r="AL140" i="19"/>
  <c r="AL141" i="19"/>
  <c r="AL142" i="19"/>
  <c r="AL143" i="19"/>
  <c r="AL144" i="19"/>
  <c r="AL145" i="19"/>
  <c r="AL146" i="19"/>
  <c r="AL147" i="19"/>
  <c r="AL148" i="19"/>
  <c r="AL149" i="19"/>
  <c r="AL150" i="19"/>
  <c r="AL151" i="19"/>
  <c r="AL152" i="19"/>
  <c r="AL153" i="19"/>
  <c r="AL154" i="19"/>
  <c r="AL155" i="19"/>
  <c r="AL156" i="19"/>
  <c r="AL157" i="19"/>
  <c r="AL158" i="19"/>
  <c r="AL159" i="19"/>
  <c r="AL160" i="19"/>
  <c r="AL161" i="19"/>
  <c r="AL162" i="19"/>
  <c r="AL163" i="19"/>
  <c r="AL164" i="19"/>
  <c r="AL165" i="19"/>
  <c r="AL166" i="19"/>
  <c r="AL167" i="19"/>
  <c r="AL168" i="19"/>
  <c r="AL169" i="19"/>
  <c r="AL170" i="19"/>
  <c r="AL171" i="19"/>
  <c r="AL172" i="19"/>
  <c r="AL173" i="19"/>
  <c r="AL174" i="19"/>
  <c r="AL175" i="19"/>
  <c r="AL176" i="19"/>
  <c r="AL177" i="19"/>
  <c r="AL178" i="19"/>
  <c r="AL179" i="19"/>
  <c r="AL180" i="19"/>
  <c r="AL181" i="19"/>
  <c r="AL182" i="19"/>
  <c r="AL183" i="19"/>
  <c r="AL184" i="19"/>
  <c r="AL185" i="19"/>
  <c r="AL186" i="19"/>
  <c r="AL187" i="19"/>
  <c r="AL188" i="19"/>
  <c r="AL189" i="19"/>
  <c r="AL190" i="19"/>
  <c r="AL191" i="19"/>
  <c r="AL192" i="19"/>
  <c r="AL193" i="19"/>
  <c r="AL194" i="19"/>
  <c r="AL195" i="19"/>
  <c r="AL196" i="19"/>
  <c r="AL197" i="19"/>
  <c r="AL198" i="19"/>
  <c r="AL199" i="19"/>
  <c r="AL200" i="19"/>
  <c r="AL201" i="19"/>
  <c r="AL202" i="19"/>
  <c r="AL203" i="19"/>
  <c r="AL204" i="19"/>
  <c r="AL205" i="19"/>
  <c r="AL206" i="19"/>
  <c r="AL207" i="19"/>
  <c r="AL208" i="19"/>
  <c r="AL209" i="19"/>
  <c r="AL210" i="19"/>
  <c r="AL211" i="19"/>
  <c r="AL212" i="19"/>
  <c r="AL213" i="19"/>
  <c r="AL214" i="19"/>
  <c r="AL215" i="19"/>
  <c r="AL216" i="19"/>
  <c r="AL217" i="19"/>
  <c r="AK4" i="19"/>
  <c r="AK5" i="19"/>
  <c r="AK6" i="19"/>
  <c r="AK7" i="19"/>
  <c r="AK8" i="19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9" i="19"/>
  <c r="AK40" i="19"/>
  <c r="AK41" i="19"/>
  <c r="AK42" i="19"/>
  <c r="AK43" i="19"/>
  <c r="AK44" i="19"/>
  <c r="AK46" i="19"/>
  <c r="AK47" i="19"/>
  <c r="AK48" i="19"/>
  <c r="AK49" i="19"/>
  <c r="AK50" i="19"/>
  <c r="AK51" i="19"/>
  <c r="AK52" i="19"/>
  <c r="AK53" i="19"/>
  <c r="AK54" i="19"/>
  <c r="AK55" i="19"/>
  <c r="AK56" i="19"/>
  <c r="AK57" i="19"/>
  <c r="AK59" i="19"/>
  <c r="AK60" i="19"/>
  <c r="AK61" i="19"/>
  <c r="AK62" i="19"/>
  <c r="AK63" i="19"/>
  <c r="AK64" i="19"/>
  <c r="AK65" i="19"/>
  <c r="AK67" i="19"/>
  <c r="AK68" i="19"/>
  <c r="AK69" i="19"/>
  <c r="AK70" i="19"/>
  <c r="AK71" i="19"/>
  <c r="AK72" i="19"/>
  <c r="AK73" i="19"/>
  <c r="AK74" i="19"/>
  <c r="AK75" i="19"/>
  <c r="AK76" i="19"/>
  <c r="AK77" i="19"/>
  <c r="AK78" i="19"/>
  <c r="AK79" i="19"/>
  <c r="AK80" i="19"/>
  <c r="AK81" i="19"/>
  <c r="AK82" i="19"/>
  <c r="AK83" i="19"/>
  <c r="AK84" i="19"/>
  <c r="AK85" i="19"/>
  <c r="AK86" i="19"/>
  <c r="AK87" i="19"/>
  <c r="AK88" i="19"/>
  <c r="AK89" i="19"/>
  <c r="AK90" i="19"/>
  <c r="AK91" i="19"/>
  <c r="AK92" i="19"/>
  <c r="AK93" i="19"/>
  <c r="AK94" i="19"/>
  <c r="AK95" i="19"/>
  <c r="AK96" i="19"/>
  <c r="AK97" i="19"/>
  <c r="AK98" i="19"/>
  <c r="AK99" i="19"/>
  <c r="AK100" i="19"/>
  <c r="AK101" i="19"/>
  <c r="AK102" i="19"/>
  <c r="AK103" i="19"/>
  <c r="AK104" i="19"/>
  <c r="AK105" i="19"/>
  <c r="AK106" i="19"/>
  <c r="AK107" i="19"/>
  <c r="AK109" i="19"/>
  <c r="AK110" i="19"/>
  <c r="AK111" i="19"/>
  <c r="AK112" i="19"/>
  <c r="AK113" i="19"/>
  <c r="AK114" i="19"/>
  <c r="AK115" i="19"/>
  <c r="AK116" i="19"/>
  <c r="AK117" i="19"/>
  <c r="AK119" i="19"/>
  <c r="AK120" i="19"/>
  <c r="AK121" i="19"/>
  <c r="AK122" i="19"/>
  <c r="AK123" i="19"/>
  <c r="AK124" i="19"/>
  <c r="AK125" i="19"/>
  <c r="AK126" i="19"/>
  <c r="AK128" i="19"/>
  <c r="AK129" i="19"/>
  <c r="AK130" i="19"/>
  <c r="AK131" i="19"/>
  <c r="AK133" i="19"/>
  <c r="AK135" i="19"/>
  <c r="AK136" i="19"/>
  <c r="AK137" i="19"/>
  <c r="AK138" i="19"/>
  <c r="AK139" i="19"/>
  <c r="AK140" i="19"/>
  <c r="AK141" i="19"/>
  <c r="AK142" i="19"/>
  <c r="AK143" i="19"/>
  <c r="AK145" i="19"/>
  <c r="AK146" i="19"/>
  <c r="AK147" i="19"/>
  <c r="AK148" i="19"/>
  <c r="AK149" i="19"/>
  <c r="AK151" i="19"/>
  <c r="AK152" i="19"/>
  <c r="AK153" i="19"/>
  <c r="AK155" i="19"/>
  <c r="AK156" i="19"/>
  <c r="AK157" i="19"/>
  <c r="AK159" i="19"/>
  <c r="AK161" i="19"/>
  <c r="AK162" i="19"/>
  <c r="AK163" i="19"/>
  <c r="AK164" i="19"/>
  <c r="AK165" i="19"/>
  <c r="AK167" i="19"/>
  <c r="AK168" i="19"/>
  <c r="AK169" i="19"/>
  <c r="AK170" i="19"/>
  <c r="AK171" i="19"/>
  <c r="AK172" i="19"/>
  <c r="AK173" i="19"/>
  <c r="AK174" i="19"/>
  <c r="AK175" i="19"/>
  <c r="AK176" i="19"/>
  <c r="AK177" i="19"/>
  <c r="AK178" i="19"/>
  <c r="AK179" i="19"/>
  <c r="AK183" i="19"/>
  <c r="AK184" i="19"/>
  <c r="AK185" i="19"/>
  <c r="AK188" i="19"/>
  <c r="AK189" i="19"/>
  <c r="AK190" i="19"/>
  <c r="AK191" i="19"/>
  <c r="AK192" i="19"/>
  <c r="AK193" i="19"/>
  <c r="AK194" i="19"/>
  <c r="AK195" i="19"/>
  <c r="AK197" i="19"/>
  <c r="AK198" i="19"/>
  <c r="AK200" i="19"/>
  <c r="AK201" i="19"/>
  <c r="AK202" i="19"/>
  <c r="AK203" i="19"/>
  <c r="AK204" i="19"/>
  <c r="AK205" i="19"/>
  <c r="AK206" i="19"/>
  <c r="AK207" i="19"/>
  <c r="AK209" i="19"/>
  <c r="AK210" i="19"/>
  <c r="AK211" i="19"/>
  <c r="AK212" i="19"/>
  <c r="AK213" i="19"/>
  <c r="AK214" i="19"/>
  <c r="AK215" i="19"/>
  <c r="AK216" i="19"/>
  <c r="F3" i="43"/>
  <c r="F4" i="43"/>
  <c r="F5" i="43"/>
  <c r="F6" i="43"/>
  <c r="F7" i="43"/>
  <c r="F8" i="43"/>
  <c r="F9" i="43"/>
  <c r="F10" i="43"/>
  <c r="F11" i="43"/>
  <c r="F12" i="43"/>
  <c r="F13" i="43"/>
  <c r="F14" i="43"/>
  <c r="F15" i="43"/>
  <c r="F16" i="43"/>
  <c r="F17" i="43"/>
  <c r="F18" i="43"/>
  <c r="F19" i="43"/>
  <c r="F20" i="43"/>
  <c r="F21" i="43"/>
  <c r="F22" i="43"/>
  <c r="F23" i="43"/>
  <c r="F24" i="43"/>
  <c r="F25" i="43"/>
  <c r="F26" i="43"/>
  <c r="F27" i="43"/>
  <c r="F28" i="43"/>
  <c r="F29" i="43"/>
  <c r="F30" i="43"/>
  <c r="F31" i="43"/>
  <c r="F32" i="43"/>
  <c r="F33" i="43"/>
  <c r="F34" i="43"/>
  <c r="F35" i="43"/>
  <c r="F36" i="43"/>
  <c r="F37" i="43"/>
  <c r="F38" i="43"/>
  <c r="F39" i="43"/>
  <c r="F40" i="43"/>
  <c r="F2" i="43"/>
  <c r="D3" i="43"/>
  <c r="D4" i="43"/>
  <c r="D5" i="43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D37" i="43"/>
  <c r="D38" i="43"/>
  <c r="D39" i="43"/>
  <c r="D40" i="43"/>
  <c r="D2" i="43"/>
  <c r="C233" i="19" l="1"/>
  <c r="D233" i="19"/>
  <c r="C232" i="19"/>
  <c r="D232" i="19"/>
  <c r="D226" i="19"/>
  <c r="C229" i="19"/>
  <c r="D227" i="19"/>
  <c r="C231" i="19"/>
  <c r="G229" i="19"/>
  <c r="F228" i="19"/>
  <c r="E229" i="19"/>
  <c r="E230" i="19"/>
  <c r="G233" i="19"/>
  <c r="G228" i="19"/>
  <c r="G230" i="19"/>
  <c r="F229" i="19"/>
  <c r="F232" i="19"/>
  <c r="F227" i="19"/>
  <c r="G231" i="19"/>
  <c r="F230" i="19"/>
  <c r="E231" i="19"/>
  <c r="E233" i="19"/>
  <c r="E228" i="19"/>
  <c r="F231" i="19"/>
  <c r="E232" i="19"/>
  <c r="G226" i="19"/>
  <c r="F233" i="19"/>
  <c r="E226" i="19"/>
  <c r="G227" i="19"/>
  <c r="F226" i="19"/>
  <c r="E227" i="19"/>
  <c r="D231" i="19"/>
  <c r="C230" i="19"/>
  <c r="D230" i="19"/>
  <c r="C226" i="19"/>
  <c r="D229" i="19"/>
  <c r="C228" i="19"/>
  <c r="D228" i="19"/>
  <c r="C227" i="19"/>
  <c r="C234" i="19" l="1"/>
  <c r="I73" i="36"/>
  <c r="J73" i="36"/>
  <c r="Y59" i="30"/>
  <c r="L59" i="30"/>
  <c r="K59" i="30"/>
  <c r="I59" i="30"/>
  <c r="D65" i="30"/>
  <c r="AK56" i="30"/>
  <c r="AK57" i="30"/>
  <c r="AL56" i="30"/>
  <c r="AL57" i="30"/>
  <c r="H10" i="29" l="1"/>
  <c r="I10" i="29"/>
  <c r="G10" i="29"/>
  <c r="C79" i="30"/>
  <c r="D79" i="30"/>
  <c r="E79" i="30"/>
  <c r="F79" i="30"/>
  <c r="C80" i="30"/>
  <c r="D80" i="30"/>
  <c r="E80" i="30"/>
  <c r="F80" i="30"/>
  <c r="C81" i="30"/>
  <c r="D81" i="30"/>
  <c r="E81" i="30"/>
  <c r="F81" i="30"/>
  <c r="C82" i="30"/>
  <c r="D82" i="30"/>
  <c r="E82" i="30"/>
  <c r="F82" i="30"/>
  <c r="C83" i="30"/>
  <c r="D83" i="30"/>
  <c r="E83" i="30"/>
  <c r="F83" i="30"/>
  <c r="C84" i="30"/>
  <c r="D84" i="30"/>
  <c r="E84" i="30"/>
  <c r="F84" i="30"/>
  <c r="C85" i="30"/>
  <c r="D85" i="30"/>
  <c r="C86" i="30"/>
  <c r="D86" i="30"/>
  <c r="E86" i="30"/>
  <c r="F86" i="30"/>
  <c r="C87" i="30"/>
  <c r="D87" i="30"/>
  <c r="E87" i="30"/>
  <c r="F87" i="30"/>
  <c r="C88" i="30"/>
  <c r="D88" i="30"/>
  <c r="E88" i="30"/>
  <c r="F88" i="30"/>
  <c r="F78" i="30"/>
  <c r="E78" i="30"/>
  <c r="C78" i="30"/>
  <c r="D78" i="30"/>
  <c r="Y58" i="30"/>
  <c r="L58" i="30"/>
  <c r="K58" i="30"/>
  <c r="I58" i="30"/>
  <c r="AK54" i="30"/>
  <c r="AK55" i="30"/>
  <c r="AL55" i="30"/>
  <c r="F20" i="46" l="1"/>
  <c r="E20" i="46"/>
  <c r="D20" i="46"/>
  <c r="H15" i="46"/>
  <c r="G15" i="46"/>
  <c r="AM58" i="30" l="1"/>
  <c r="A59" i="30" s="1"/>
  <c r="A58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7" i="30"/>
  <c r="AK8" i="30"/>
  <c r="AK9" i="30"/>
  <c r="AK10" i="30"/>
  <c r="AK11" i="30"/>
  <c r="AK12" i="30"/>
  <c r="AK13" i="30"/>
  <c r="AK15" i="30"/>
  <c r="AK16" i="30"/>
  <c r="AK17" i="30"/>
  <c r="AK18" i="30"/>
  <c r="AK19" i="30"/>
  <c r="AK20" i="30"/>
  <c r="AK21" i="30"/>
  <c r="AK22" i="30"/>
  <c r="AK23" i="30"/>
  <c r="AK24" i="30"/>
  <c r="AK25" i="30"/>
  <c r="AK26" i="30"/>
  <c r="AK27" i="30"/>
  <c r="AK28" i="30"/>
  <c r="AK29" i="30"/>
  <c r="AK30" i="30"/>
  <c r="AK31" i="30"/>
  <c r="AK32" i="30"/>
  <c r="AK33" i="30"/>
  <c r="AK34" i="30"/>
  <c r="AK35" i="30"/>
  <c r="AK36" i="30"/>
  <c r="AK37" i="30"/>
  <c r="AK38" i="30"/>
  <c r="AK39" i="30"/>
  <c r="AK40" i="30"/>
  <c r="AK41" i="30"/>
  <c r="AK42" i="30"/>
  <c r="AK43" i="30"/>
  <c r="AK44" i="30"/>
  <c r="AK45" i="30"/>
  <c r="AK46" i="30"/>
  <c r="AK47" i="30"/>
  <c r="AK48" i="30"/>
  <c r="AK49" i="30"/>
  <c r="AK50" i="30"/>
  <c r="AK51" i="30"/>
  <c r="AK52" i="30"/>
  <c r="AK53" i="30"/>
  <c r="AK7" i="30"/>
  <c r="E49" i="32"/>
  <c r="E51" i="32"/>
  <c r="E55" i="32"/>
  <c r="E57" i="32"/>
  <c r="E65" i="32"/>
  <c r="E67" i="32"/>
  <c r="E59" i="32"/>
  <c r="E61" i="32"/>
  <c r="E63" i="32"/>
  <c r="E53" i="32"/>
  <c r="E47" i="32"/>
  <c r="E48" i="32"/>
  <c r="E50" i="32"/>
  <c r="E54" i="32"/>
  <c r="E56" i="32"/>
  <c r="E64" i="32"/>
  <c r="E66" i="32"/>
  <c r="E58" i="32"/>
  <c r="E60" i="32"/>
  <c r="E62" i="32"/>
  <c r="E52" i="32"/>
  <c r="E46" i="32"/>
  <c r="C71" i="30" l="1"/>
  <c r="C70" i="30"/>
  <c r="D70" i="30"/>
  <c r="F71" i="30"/>
  <c r="F6" i="32" s="1"/>
  <c r="D72" i="30"/>
  <c r="D7" i="32" s="1"/>
  <c r="D73" i="30"/>
  <c r="D8" i="32" s="1"/>
  <c r="D5" i="32"/>
  <c r="E72" i="30"/>
  <c r="E7" i="32" s="1"/>
  <c r="E71" i="30"/>
  <c r="E6" i="32" s="1"/>
  <c r="E73" i="30"/>
  <c r="E8" i="32" s="1"/>
  <c r="D71" i="30"/>
  <c r="D6" i="32" s="1"/>
  <c r="F72" i="30"/>
  <c r="F7" i="32" s="1"/>
  <c r="F73" i="30"/>
  <c r="F8" i="32" s="1"/>
  <c r="C89" i="30"/>
  <c r="D89" i="30"/>
  <c r="C72" i="30"/>
  <c r="C7" i="32" s="1"/>
  <c r="C6" i="32"/>
  <c r="C5" i="32"/>
  <c r="C73" i="30"/>
  <c r="C8" i="32" s="1"/>
  <c r="C74" i="30" l="1"/>
  <c r="C90" i="30" s="1"/>
  <c r="D74" i="30"/>
  <c r="D90" i="30" s="1"/>
  <c r="R185" i="44"/>
  <c r="Z149" i="44"/>
  <c r="Z142" i="44"/>
  <c r="P197" i="44"/>
  <c r="P182" i="44"/>
  <c r="P152" i="44"/>
  <c r="O205" i="44"/>
  <c r="O197" i="44"/>
  <c r="O152" i="44"/>
  <c r="J205" i="44"/>
  <c r="I205" i="44"/>
  <c r="J197" i="44"/>
  <c r="I197" i="44"/>
  <c r="I192" i="44"/>
  <c r="J164" i="44"/>
  <c r="J152" i="44"/>
  <c r="I152" i="44"/>
  <c r="W252" i="44"/>
  <c r="O214" i="44"/>
  <c r="J214" i="44"/>
  <c r="D64" i="30" l="1"/>
  <c r="D63" i="30" s="1"/>
  <c r="D66" i="30"/>
  <c r="K5" i="35" l="1"/>
  <c r="J5" i="35"/>
  <c r="I5" i="35"/>
  <c r="D28" i="32" l="1"/>
  <c r="O8" i="32" l="1"/>
  <c r="J64" i="30" l="1"/>
  <c r="I194" i="19"/>
  <c r="E65" i="30"/>
  <c r="J65" i="30"/>
  <c r="J63" i="30" l="1"/>
  <c r="F66" i="30"/>
  <c r="E66" i="30"/>
  <c r="P207" i="19" l="1"/>
  <c r="J207" i="19"/>
  <c r="I207" i="19"/>
  <c r="I19" i="32" l="1"/>
  <c r="I14" i="32" l="1"/>
  <c r="I15" i="32"/>
  <c r="I16" i="32"/>
  <c r="I17" i="32"/>
  <c r="F14" i="32"/>
  <c r="N18" i="32" l="1"/>
  <c r="N8" i="32"/>
  <c r="J166" i="19" l="1"/>
  <c r="F19" i="32" l="1"/>
  <c r="C21" i="32" l="1"/>
  <c r="N21" i="32" s="1"/>
  <c r="N41" i="32" s="1"/>
  <c r="T21" i="32" l="1"/>
  <c r="C247" i="19"/>
  <c r="H21" i="32"/>
  <c r="G21" i="32"/>
  <c r="E21" i="32"/>
  <c r="F21" i="32" s="1"/>
  <c r="Q21" i="32" s="1"/>
  <c r="D21" i="32"/>
  <c r="D41" i="32" s="1"/>
  <c r="R21" i="32" l="1"/>
  <c r="S21" i="32"/>
  <c r="O21" i="32"/>
  <c r="P21" i="32"/>
  <c r="G66" i="30" l="1"/>
  <c r="E23" i="23" l="1"/>
  <c r="I3" i="23"/>
  <c r="H3" i="23"/>
  <c r="G3" i="23"/>
  <c r="F3" i="23"/>
  <c r="E3" i="23"/>
  <c r="E22" i="22"/>
  <c r="I3" i="22"/>
  <c r="H3" i="22"/>
  <c r="G3" i="22"/>
  <c r="F3" i="22"/>
  <c r="E3" i="22"/>
  <c r="J3" i="21"/>
  <c r="I3" i="21"/>
  <c r="G3" i="21"/>
  <c r="F3" i="21"/>
  <c r="E3" i="21"/>
  <c r="G26" i="31"/>
  <c r="F26" i="31"/>
  <c r="E26" i="31"/>
  <c r="F15" i="34"/>
  <c r="E15" i="34"/>
  <c r="D15" i="34"/>
  <c r="F4" i="34"/>
  <c r="E4" i="34"/>
  <c r="D4" i="34"/>
  <c r="F67" i="32"/>
  <c r="F66" i="32"/>
  <c r="F64" i="32"/>
  <c r="D64" i="32"/>
  <c r="F62" i="32"/>
  <c r="D62" i="32"/>
  <c r="F60" i="32"/>
  <c r="D60" i="32"/>
  <c r="F59" i="32"/>
  <c r="F58" i="32"/>
  <c r="D58" i="32"/>
  <c r="F56" i="32"/>
  <c r="D56" i="32"/>
  <c r="F55" i="32"/>
  <c r="F54" i="32"/>
  <c r="D54" i="32"/>
  <c r="F52" i="32"/>
  <c r="D52" i="32"/>
  <c r="F51" i="32"/>
  <c r="F50" i="32"/>
  <c r="D50" i="32"/>
  <c r="F48" i="32"/>
  <c r="D48" i="32"/>
  <c r="F47" i="32"/>
  <c r="F46" i="32"/>
  <c r="D46" i="32"/>
  <c r="N29" i="32"/>
  <c r="C29" i="32"/>
  <c r="F28" i="32"/>
  <c r="Q28" i="32" s="1"/>
  <c r="E28" i="32"/>
  <c r="P28" i="32" s="1"/>
  <c r="O28" i="32"/>
  <c r="F27" i="32"/>
  <c r="Q27" i="32" s="1"/>
  <c r="E27" i="32"/>
  <c r="P27" i="32" s="1"/>
  <c r="D27" i="32"/>
  <c r="F20" i="32"/>
  <c r="Q20" i="32" s="1"/>
  <c r="C20" i="32"/>
  <c r="N20" i="32" s="1"/>
  <c r="T19" i="32"/>
  <c r="Q19" i="32"/>
  <c r="C19" i="32"/>
  <c r="C18" i="32"/>
  <c r="T17" i="32"/>
  <c r="F17" i="32"/>
  <c r="Q17" i="32" s="1"/>
  <c r="C17" i="32"/>
  <c r="C37" i="32" s="1"/>
  <c r="T16" i="32"/>
  <c r="F16" i="32"/>
  <c r="Q16" i="32" s="1"/>
  <c r="C16" i="32"/>
  <c r="C36" i="32" s="1"/>
  <c r="T15" i="32"/>
  <c r="F15" i="32"/>
  <c r="Q15" i="32" s="1"/>
  <c r="C15" i="32"/>
  <c r="C35" i="32" s="1"/>
  <c r="C14" i="32"/>
  <c r="C41" i="32"/>
  <c r="N5" i="32"/>
  <c r="N38" i="32" s="1"/>
  <c r="J16" i="37"/>
  <c r="I16" i="37"/>
  <c r="C70" i="29"/>
  <c r="C69" i="29"/>
  <c r="J66" i="29"/>
  <c r="F71" i="29" s="1"/>
  <c r="G67" i="30" s="1"/>
  <c r="H66" i="29"/>
  <c r="E71" i="29" s="1"/>
  <c r="F67" i="30" s="1"/>
  <c r="G66" i="29"/>
  <c r="D71" i="29" s="1"/>
  <c r="E67" i="30" s="1"/>
  <c r="N60" i="29"/>
  <c r="N66" i="29" s="1"/>
  <c r="J67" i="30" s="1"/>
  <c r="I53" i="29"/>
  <c r="H53" i="29"/>
  <c r="E70" i="29" s="1"/>
  <c r="G53" i="29"/>
  <c r="D70" i="29" s="1"/>
  <c r="H37" i="29"/>
  <c r="F40" i="29" s="1"/>
  <c r="F69" i="29" s="1"/>
  <c r="G37" i="29"/>
  <c r="D40" i="29" s="1"/>
  <c r="D69" i="29" s="1"/>
  <c r="J57" i="36"/>
  <c r="I57" i="36"/>
  <c r="I19" i="36"/>
  <c r="D53" i="32"/>
  <c r="D63" i="32"/>
  <c r="D59" i="32"/>
  <c r="D57" i="32"/>
  <c r="D55" i="32"/>
  <c r="D65" i="32"/>
  <c r="D51" i="32"/>
  <c r="D47" i="32"/>
  <c r="G20" i="32"/>
  <c r="R20" i="32" s="1"/>
  <c r="E20" i="32"/>
  <c r="P20" i="32" s="1"/>
  <c r="D20" i="32"/>
  <c r="O20" i="32" s="1"/>
  <c r="H19" i="32"/>
  <c r="S19" i="32" s="1"/>
  <c r="G19" i="32"/>
  <c r="E19" i="32"/>
  <c r="P19" i="32" s="1"/>
  <c r="D19" i="32"/>
  <c r="O19" i="32" s="1"/>
  <c r="H17" i="32"/>
  <c r="G17" i="32"/>
  <c r="E17" i="32"/>
  <c r="D17" i="32"/>
  <c r="H16" i="32"/>
  <c r="G16" i="32"/>
  <c r="H36" i="32" s="1"/>
  <c r="E16" i="32"/>
  <c r="D16" i="32"/>
  <c r="D36" i="32" s="1"/>
  <c r="H15" i="32"/>
  <c r="G15" i="32"/>
  <c r="E15" i="32"/>
  <c r="Q199" i="19"/>
  <c r="P199" i="19"/>
  <c r="J199" i="19"/>
  <c r="I199" i="19"/>
  <c r="S187" i="19"/>
  <c r="Q184" i="19"/>
  <c r="Q154" i="19"/>
  <c r="P154" i="19"/>
  <c r="J154" i="19"/>
  <c r="I154" i="19"/>
  <c r="AA151" i="19"/>
  <c r="AA144" i="19"/>
  <c r="F107" i="30"/>
  <c r="E106" i="30"/>
  <c r="C106" i="30" s="1"/>
  <c r="E105" i="30"/>
  <c r="D105" i="30"/>
  <c r="E103" i="30"/>
  <c r="D103" i="30"/>
  <c r="E102" i="30"/>
  <c r="D102" i="30"/>
  <c r="D101" i="30"/>
  <c r="E100" i="30"/>
  <c r="D100" i="30"/>
  <c r="E99" i="30"/>
  <c r="D99" i="30"/>
  <c r="E98" i="30"/>
  <c r="D98" i="30"/>
  <c r="E97" i="30"/>
  <c r="D97" i="30"/>
  <c r="E96" i="30"/>
  <c r="D96" i="30"/>
  <c r="D95" i="30"/>
  <c r="N7" i="32"/>
  <c r="X43" i="30"/>
  <c r="P8" i="30"/>
  <c r="J8" i="30"/>
  <c r="G232" i="19" l="1"/>
  <c r="G234" i="19" s="1"/>
  <c r="Q218" i="19"/>
  <c r="G223" i="19" s="1"/>
  <c r="J59" i="30"/>
  <c r="E85" i="30"/>
  <c r="E89" i="30" s="1"/>
  <c r="J58" i="30"/>
  <c r="F65" i="30" s="1"/>
  <c r="E70" i="30"/>
  <c r="P58" i="30"/>
  <c r="G65" i="30" s="1"/>
  <c r="P59" i="30"/>
  <c r="F85" i="30"/>
  <c r="F89" i="30" s="1"/>
  <c r="F70" i="30"/>
  <c r="F70" i="29"/>
  <c r="C58" i="32"/>
  <c r="H18" i="32"/>
  <c r="S18" i="32" s="1"/>
  <c r="I18" i="32"/>
  <c r="T18" i="32" s="1"/>
  <c r="F247" i="19"/>
  <c r="G18" i="32"/>
  <c r="R18" i="32" s="1"/>
  <c r="D18" i="32"/>
  <c r="O18" i="32" s="1"/>
  <c r="D61" i="32"/>
  <c r="E18" i="32"/>
  <c r="P18" i="32" s="1"/>
  <c r="E247" i="19"/>
  <c r="F18" i="32"/>
  <c r="Q18" i="32" s="1"/>
  <c r="I20" i="32"/>
  <c r="R19" i="32"/>
  <c r="F37" i="32"/>
  <c r="D19" i="34"/>
  <c r="F19" i="34"/>
  <c r="E19" i="34"/>
  <c r="C67" i="32"/>
  <c r="C66" i="32"/>
  <c r="C96" i="30"/>
  <c r="C99" i="30"/>
  <c r="C102" i="30"/>
  <c r="C100" i="30"/>
  <c r="C52" i="32"/>
  <c r="C56" i="32"/>
  <c r="C105" i="30"/>
  <c r="C57" i="32"/>
  <c r="C97" i="30"/>
  <c r="C103" i="30"/>
  <c r="F41" i="32"/>
  <c r="E41" i="32"/>
  <c r="H41" i="32"/>
  <c r="I41" i="32"/>
  <c r="G41" i="32"/>
  <c r="D29" i="32"/>
  <c r="Q14" i="32"/>
  <c r="E29" i="32"/>
  <c r="N14" i="32"/>
  <c r="N34" i="32" s="1"/>
  <c r="C22" i="32"/>
  <c r="T14" i="32"/>
  <c r="F29" i="32"/>
  <c r="P29" i="32"/>
  <c r="Q29" i="32"/>
  <c r="O27" i="32"/>
  <c r="O29" i="32" s="1"/>
  <c r="C64" i="32"/>
  <c r="F68" i="32"/>
  <c r="F69" i="32"/>
  <c r="C98" i="30"/>
  <c r="C54" i="32"/>
  <c r="E101" i="30"/>
  <c r="C101" i="30" s="1"/>
  <c r="N40" i="32"/>
  <c r="C50" i="32"/>
  <c r="C60" i="32"/>
  <c r="E95" i="30"/>
  <c r="E107" i="30" s="1"/>
  <c r="C9" i="32"/>
  <c r="C38" i="32"/>
  <c r="C39" i="32"/>
  <c r="C48" i="32"/>
  <c r="O5" i="32"/>
  <c r="C62" i="32"/>
  <c r="N6" i="32"/>
  <c r="N9" i="32" s="1"/>
  <c r="D14" i="32"/>
  <c r="O14" i="32" s="1"/>
  <c r="E14" i="32"/>
  <c r="F34" i="32" s="1"/>
  <c r="G14" i="32"/>
  <c r="H34" i="32" s="1"/>
  <c r="N17" i="32"/>
  <c r="N37" i="32" s="1"/>
  <c r="D49" i="32"/>
  <c r="N19" i="32"/>
  <c r="F36" i="32"/>
  <c r="P16" i="32"/>
  <c r="Q36" i="32" s="1"/>
  <c r="N15" i="32"/>
  <c r="N35" i="32" s="1"/>
  <c r="O16" i="32"/>
  <c r="O36" i="32" s="1"/>
  <c r="C40" i="32"/>
  <c r="E36" i="32"/>
  <c r="D68" i="32"/>
  <c r="I37" i="32"/>
  <c r="S17" i="32"/>
  <c r="S15" i="32"/>
  <c r="I35" i="32"/>
  <c r="O17" i="32"/>
  <c r="O37" i="32" s="1"/>
  <c r="D37" i="32"/>
  <c r="S16" i="32"/>
  <c r="I36" i="32"/>
  <c r="P15" i="32"/>
  <c r="F35" i="32"/>
  <c r="E35" i="32"/>
  <c r="H35" i="32"/>
  <c r="R15" i="32"/>
  <c r="G35" i="32"/>
  <c r="H37" i="32"/>
  <c r="G37" i="32"/>
  <c r="R17" i="32"/>
  <c r="N16" i="32"/>
  <c r="N36" i="32" s="1"/>
  <c r="P17" i="32"/>
  <c r="C34" i="32"/>
  <c r="H14" i="32"/>
  <c r="E37" i="32"/>
  <c r="C53" i="32"/>
  <c r="D15" i="32"/>
  <c r="R16" i="32"/>
  <c r="G36" i="32"/>
  <c r="C63" i="32"/>
  <c r="D107" i="30"/>
  <c r="C59" i="32"/>
  <c r="C65" i="32"/>
  <c r="C51" i="32"/>
  <c r="C55" i="32"/>
  <c r="G40" i="32"/>
  <c r="Q7" i="32"/>
  <c r="G39" i="32"/>
  <c r="Q6" i="32"/>
  <c r="I39" i="32"/>
  <c r="H39" i="32"/>
  <c r="F40" i="32"/>
  <c r="E40" i="32"/>
  <c r="P7" i="32"/>
  <c r="O7" i="32"/>
  <c r="O40" i="32" s="1"/>
  <c r="D40" i="32"/>
  <c r="O6" i="32"/>
  <c r="D39" i="32"/>
  <c r="P8" i="32"/>
  <c r="P41" i="32" s="1"/>
  <c r="F39" i="32"/>
  <c r="E39" i="32"/>
  <c r="P6" i="32"/>
  <c r="Q8" i="32"/>
  <c r="H20" i="32" l="1"/>
  <c r="S20" i="32" s="1"/>
  <c r="T40" i="32" s="1"/>
  <c r="E64" i="30"/>
  <c r="E63" i="30" s="1"/>
  <c r="F64" i="30"/>
  <c r="F63" i="30" s="1"/>
  <c r="F74" i="30"/>
  <c r="F90" i="30" s="1"/>
  <c r="F5" i="32"/>
  <c r="Q5" i="32" s="1"/>
  <c r="U38" i="32" s="1"/>
  <c r="E74" i="30"/>
  <c r="E90" i="30" s="1"/>
  <c r="E5" i="32"/>
  <c r="E9" i="32" s="1"/>
  <c r="E68" i="32"/>
  <c r="C46" i="32"/>
  <c r="C68" i="32" s="1"/>
  <c r="I22" i="32"/>
  <c r="T20" i="32"/>
  <c r="S40" i="32" s="1"/>
  <c r="O39" i="32"/>
  <c r="P14" i="32"/>
  <c r="Q34" i="32" s="1"/>
  <c r="D34" i="32"/>
  <c r="C61" i="32"/>
  <c r="E234" i="19"/>
  <c r="D234" i="19"/>
  <c r="N22" i="32"/>
  <c r="Q22" i="32"/>
  <c r="E34" i="32"/>
  <c r="E22" i="32"/>
  <c r="G22" i="32"/>
  <c r="H22" i="32"/>
  <c r="D22" i="32"/>
  <c r="F22" i="32"/>
  <c r="N39" i="32"/>
  <c r="N42" i="32" s="1"/>
  <c r="C95" i="30"/>
  <c r="C107" i="30" s="1"/>
  <c r="D9" i="32"/>
  <c r="R14" i="32"/>
  <c r="P36" i="32"/>
  <c r="G34" i="32"/>
  <c r="D69" i="32"/>
  <c r="F234" i="19"/>
  <c r="D38" i="32"/>
  <c r="C49" i="32"/>
  <c r="G247" i="19"/>
  <c r="D247" i="19"/>
  <c r="C42" i="32"/>
  <c r="U36" i="32"/>
  <c r="T36" i="32"/>
  <c r="Q37" i="32"/>
  <c r="P37" i="32"/>
  <c r="S35" i="32"/>
  <c r="R35" i="32"/>
  <c r="O34" i="32"/>
  <c r="H40" i="32"/>
  <c r="S36" i="32"/>
  <c r="R36" i="32"/>
  <c r="U37" i="32"/>
  <c r="T37" i="32"/>
  <c r="U35" i="32"/>
  <c r="T35" i="32"/>
  <c r="O15" i="32"/>
  <c r="O35" i="32" s="1"/>
  <c r="D35" i="32"/>
  <c r="I34" i="32"/>
  <c r="S14" i="32"/>
  <c r="S22" i="32" s="1"/>
  <c r="S37" i="32"/>
  <c r="R37" i="32"/>
  <c r="Q35" i="32"/>
  <c r="P35" i="32"/>
  <c r="R40" i="32"/>
  <c r="Q39" i="32"/>
  <c r="P39" i="32"/>
  <c r="O41" i="32"/>
  <c r="Q41" i="32"/>
  <c r="Q40" i="32"/>
  <c r="P40" i="32"/>
  <c r="U39" i="32"/>
  <c r="S39" i="32"/>
  <c r="T39" i="32"/>
  <c r="R39" i="32"/>
  <c r="O38" i="32"/>
  <c r="E69" i="32"/>
  <c r="C47" i="32"/>
  <c r="U41" i="32"/>
  <c r="T41" i="32"/>
  <c r="S41" i="32"/>
  <c r="R41" i="32"/>
  <c r="I40" i="32" l="1"/>
  <c r="G64" i="30"/>
  <c r="G63" i="30" s="1"/>
  <c r="S38" i="32"/>
  <c r="F9" i="32"/>
  <c r="T38" i="32"/>
  <c r="G38" i="32"/>
  <c r="G42" i="32" s="1"/>
  <c r="R38" i="32"/>
  <c r="F38" i="32"/>
  <c r="F42" i="32" s="1"/>
  <c r="Q9" i="32"/>
  <c r="E38" i="32"/>
  <c r="E42" i="32" s="1"/>
  <c r="H38" i="32"/>
  <c r="H42" i="32" s="1"/>
  <c r="P5" i="32"/>
  <c r="Q38" i="32" s="1"/>
  <c r="Q42" i="32" s="1"/>
  <c r="I38" i="32"/>
  <c r="I42" i="32" s="1"/>
  <c r="C69" i="32"/>
  <c r="U40" i="32"/>
  <c r="T22" i="32"/>
  <c r="P34" i="32"/>
  <c r="P22" i="32"/>
  <c r="S34" i="32"/>
  <c r="S42" i="32" s="1"/>
  <c r="R22" i="32"/>
  <c r="R34" i="32"/>
  <c r="O22" i="32"/>
  <c r="O9" i="32"/>
  <c r="D42" i="32"/>
  <c r="U34" i="32"/>
  <c r="T34" i="32"/>
  <c r="O42" i="32"/>
  <c r="T42" i="32" l="1"/>
  <c r="R42" i="32"/>
  <c r="P9" i="32"/>
  <c r="P38" i="32"/>
  <c r="P42" i="32" s="1"/>
  <c r="U42" i="32"/>
</calcChain>
</file>

<file path=xl/comments1.xml><?xml version="1.0" encoding="utf-8"?>
<comments xmlns="http://schemas.openxmlformats.org/spreadsheetml/2006/main">
  <authors>
    <author>Алимжанова Данира Каиртеновна</author>
    <author>Уринбасарова Молдир Манасовна</author>
    <author>Жанна Башеева Кенесказыаевна</author>
    <author>Курмангалиев Марат Галиевич</author>
  </authors>
  <commentList>
    <comment ref="I132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стоимость проекта разделена на 2 очереди </t>
        </r>
      </text>
    </comment>
    <comment ref="J135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было 4 352,5</t>
        </r>
      </text>
    </comment>
    <comment ref="P135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было 58</t>
        </r>
      </text>
    </comment>
    <comment ref="P140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Внесли корректировку? Было 73 квартир</t>
        </r>
      </text>
    </comment>
    <comment ref="W141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было 10.01.2023</t>
        </r>
      </text>
    </comment>
    <comment ref="I152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ранее 1 888 729 000
</t>
        </r>
      </text>
    </comment>
    <comment ref="X153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1"/>
            <color indexed="81"/>
            <rFont val="Tahoma"/>
            <family val="2"/>
            <charset val="204"/>
          </rPr>
          <t>Корректировка ГВ на основании доп.согл.№9 от 21.07.23г. 
Сумма до коррек. 31417159тг.</t>
        </r>
      </text>
    </comment>
    <comment ref="O162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2"/>
            <color indexed="81"/>
            <rFont val="Tahoma"/>
            <family val="2"/>
            <charset val="204"/>
          </rPr>
          <t>внесли изм. в заключении экспертизы 
было 303
в новом заключении - 312</t>
        </r>
      </text>
    </comment>
    <comment ref="Z162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1"/>
            <color indexed="81"/>
            <rFont val="Tahoma"/>
            <family val="2"/>
            <charset val="204"/>
          </rPr>
          <t>с уменьшением обязетльств сумма проекта составляет 1 622 103 153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63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было 64 718,9 кв.м 
</t>
        </r>
      </text>
    </comment>
    <comment ref="X163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ранее сумма гарантийного взноса указана 70 839 607
</t>
        </r>
      </text>
    </comment>
    <comment ref="J164" authorId="3" shapeId="0">
      <text>
        <r>
          <rPr>
            <b/>
            <sz val="9"/>
            <color indexed="81"/>
            <rFont val="Tahoma"/>
            <family val="2"/>
            <charset val="204"/>
          </rPr>
          <t>Курмангалиев Марат Галиевич:</t>
        </r>
        <r>
          <rPr>
            <sz val="9"/>
            <color indexed="81"/>
            <rFont val="Tahoma"/>
            <family val="2"/>
            <charset val="204"/>
          </rPr>
          <t xml:space="preserve">
уменьшил на 147,41 м2</t>
        </r>
      </text>
    </comment>
    <comment ref="P169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было 63</t>
        </r>
      </text>
    </comment>
    <comment ref="W169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было 10.11.2023</t>
        </r>
      </text>
    </comment>
    <comment ref="J170" authorId="3" shapeId="0">
      <text>
        <r>
          <rPr>
            <b/>
            <sz val="9"/>
            <color indexed="81"/>
            <rFont val="Tahoma"/>
            <family val="2"/>
            <charset val="204"/>
          </rPr>
          <t>Курмангалиев Марат Галиевич:</t>
        </r>
        <r>
          <rPr>
            <sz val="9"/>
            <color indexed="81"/>
            <rFont val="Tahoma"/>
            <family val="2"/>
            <charset val="204"/>
          </rPr>
          <t xml:space="preserve">
по проекту 114093,4
</t>
        </r>
      </text>
    </comment>
    <comment ref="X172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ранее сумма гарантийного взноса была казана 26 149 055
</t>
        </r>
      </text>
    </comment>
    <comment ref="W173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было 08.01.2024</t>
        </r>
      </text>
    </comment>
    <comment ref="X174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1"/>
            <color indexed="81"/>
            <rFont val="Tahoma"/>
            <family val="2"/>
            <charset val="204"/>
          </rPr>
          <t xml:space="preserve">Корректировка ГВ на основании доп.согл.№9 от 21.07.23г. 
Сумма до коррек. 20645553 тг. </t>
        </r>
      </text>
    </comment>
    <comment ref="I178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сумма 1 496 490 968
</t>
        </r>
      </text>
    </comment>
    <comment ref="J178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по Акту ввода
</t>
        </r>
      </text>
    </comment>
    <comment ref="O178" authorId="3" shapeId="0">
      <text>
        <r>
          <rPr>
            <b/>
            <sz val="9"/>
            <color indexed="81"/>
            <rFont val="Tahoma"/>
            <family val="2"/>
            <charset val="204"/>
          </rPr>
          <t>Курмангалиев Марат Галиевич:</t>
        </r>
        <r>
          <rPr>
            <sz val="9"/>
            <color indexed="81"/>
            <rFont val="Tahoma"/>
            <family val="2"/>
            <charset val="204"/>
          </rPr>
          <t xml:space="preserve">
было 99
</t>
        </r>
      </text>
    </comment>
    <comment ref="I179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Сумма 3 516 434 724</t>
        </r>
      </text>
    </comment>
    <comment ref="I180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Сумма 6 255 902 236</t>
        </r>
      </text>
    </comment>
    <comment ref="J185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2"/>
            <color indexed="81"/>
            <rFont val="Tahoma"/>
            <family val="2"/>
            <charset val="204"/>
          </rPr>
          <t>скорр. Общая площадь, ИТОГО  50 521,16
Исключила, так как мы не знаем какие площади в разрезе пусковых комплексов были до корректировки</t>
        </r>
      </text>
    </comment>
    <comment ref="I188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1"/>
            <color indexed="81"/>
            <rFont val="Tahoma"/>
            <family val="2"/>
            <charset val="204"/>
          </rPr>
          <t>изм.суммы проекта согласно выписке № 111 от 27.10.2022</t>
        </r>
      </text>
    </comment>
    <comment ref="J188" authorId="2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Жанна Башеева Кенесказыевна    согласно акта 12802,8
</t>
        </r>
      </text>
    </comment>
    <comment ref="X188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1"/>
            <color indexed="81"/>
            <rFont val="Tahoma"/>
            <family val="2"/>
            <charset val="204"/>
          </rPr>
          <t>изм.суммы проекта согласно выписке № 111 от 27.10.2022</t>
        </r>
      </text>
    </comment>
    <comment ref="J189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план 9055,4
</t>
        </r>
      </text>
    </comment>
    <comment ref="J192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Было 75 291,5</t>
        </r>
      </text>
    </comment>
    <comment ref="O192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было 1 222 квартиры
</t>
        </r>
      </text>
    </comment>
    <comment ref="O193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было 208</t>
        </r>
      </text>
    </comment>
    <comment ref="J195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АВР план 9 734,34 кв.м факт 9 723,6 кв.м
</t>
        </r>
      </text>
    </comment>
    <comment ref="J196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по акту ввода 139112,6
</t>
        </r>
      </text>
    </comment>
    <comment ref="O196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по акту ввода 1464
</t>
        </r>
      </text>
    </comment>
    <comment ref="I197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ранее 1 888 729 000
</t>
        </r>
      </text>
    </comment>
    <comment ref="J203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ранее 5767 было
исправлено
</t>
        </r>
      </text>
    </comment>
    <comment ref="I205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1"/>
            <color indexed="81"/>
            <rFont val="Tahoma"/>
            <family val="2"/>
            <charset val="204"/>
          </rPr>
          <t>пятно 1 введен в экспл.</t>
        </r>
        <r>
          <rPr>
            <sz val="9"/>
            <color indexed="81"/>
            <rFont val="Tahoma"/>
            <family val="2"/>
            <charset val="204"/>
          </rPr>
          <t xml:space="preserve"> </t>
        </r>
      </text>
    </comment>
    <comment ref="I214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1"/>
            <color indexed="81"/>
            <rFont val="Tahoma"/>
            <family val="2"/>
            <charset val="204"/>
          </rPr>
          <t xml:space="preserve">корпуса 1,2,3 ввелись в экспл.    Сумма изменена (ранее 7324208512)
</t>
        </r>
      </text>
    </comment>
    <comment ref="J214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ранее было 48244,0
</t>
        </r>
      </text>
    </comment>
    <comment ref="S214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1"/>
            <color indexed="81"/>
            <rFont val="Tahoma"/>
            <family val="2"/>
            <charset val="204"/>
          </rPr>
          <t>разделение очередей 
ранее ввод был 22.05.2024</t>
        </r>
      </text>
    </comment>
    <comment ref="J216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1"/>
            <color indexed="81"/>
            <rFont val="Tahoma"/>
            <family val="2"/>
            <charset val="204"/>
          </rPr>
          <t>была корректировка 
предыдущая площадь 13 113,4 кв.м.</t>
        </r>
      </text>
    </comment>
    <comment ref="I217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проектная стоимость при подаче заявки 1 763 181 636 тенге,
после разделения 881 590 818 тенге
</t>
        </r>
      </text>
    </comment>
    <comment ref="J217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8 128 было после корректировки 1 оч - 5910,0            2оч.- 6145,2</t>
        </r>
      </text>
    </comment>
    <comment ref="O217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ранее было 64
</t>
        </r>
      </text>
    </comment>
    <comment ref="S217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ранее было дата заверешния 28.10.2023г. 
Внесено изм. согласно доп.согл.</t>
        </r>
      </text>
    </comment>
    <comment ref="W217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продление по ЧС
</t>
        </r>
      </text>
    </comment>
    <comment ref="T221" authorId="1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2"/>
            <color indexed="81"/>
            <rFont val="Tahoma"/>
            <family val="2"/>
            <charset val="204"/>
          </rPr>
          <t xml:space="preserve">доп.согл. от 31.10.23г. Доп.согл. от 19.03.24
</t>
        </r>
      </text>
    </comment>
    <comment ref="W222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 продление по ЧС
</t>
        </r>
      </text>
    </comment>
    <comment ref="W234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продление по ЧС
</t>
        </r>
      </text>
    </comment>
    <comment ref="J246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4191 кв.м квартир              5712 кв.м здания</t>
        </r>
      </text>
    </comment>
    <comment ref="J248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ранее было 66065 исправлено на 66054,54
</t>
        </r>
      </text>
    </comment>
  </commentList>
</comments>
</file>

<file path=xl/comments2.xml><?xml version="1.0" encoding="utf-8"?>
<comments xmlns="http://schemas.openxmlformats.org/spreadsheetml/2006/main">
  <authors>
    <author>Уринбасарова Молдир Манасовна</author>
    <author>Алимжанова Данира Каиртеновна</author>
    <author>Жанна Башеева Кенесказыаевна</author>
  </authors>
  <commentList>
    <comment ref="N58" authorId="0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гарантийный взнос 2% от проектной стоимости</t>
        </r>
      </text>
    </comment>
    <comment ref="N61" authorId="0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1"/>
            <color indexed="81"/>
            <rFont val="Tahoma"/>
            <family val="2"/>
            <charset val="204"/>
          </rPr>
          <t>корректировка гарантийного взноса от 19.07.2023г. Доп.согл. №8 к ДПГ-19-01-001/029
Предыдущая сумма 24 027 390тг.</t>
        </r>
      </text>
    </comment>
    <comment ref="N63" authorId="1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ранее была указана сумма гарантийного взноса 27 479 342
</t>
        </r>
      </text>
    </comment>
    <comment ref="N64" authorId="2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сумма согласно ДПГ
</t>
        </r>
      </text>
    </comment>
  </commentList>
</comments>
</file>

<file path=xl/comments3.xml><?xml version="1.0" encoding="utf-8"?>
<comments xmlns="http://schemas.openxmlformats.org/spreadsheetml/2006/main">
  <authors>
    <author>Уринбасарова Молдир Манасовна</author>
  </authors>
  <commentList>
    <comment ref="V11" authorId="0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11"/>
            <color indexed="81"/>
            <rFont val="Times New Roman"/>
            <family val="1"/>
            <charset val="204"/>
          </rPr>
          <t xml:space="preserve">Были тех.неполадки в системе Simbase, пэтому задержка с доработки </t>
        </r>
      </text>
    </comment>
  </commentList>
</comments>
</file>

<file path=xl/comments4.xml><?xml version="1.0" encoding="utf-8"?>
<comments xmlns="http://schemas.openxmlformats.org/spreadsheetml/2006/main">
  <authors>
    <author>Жанна Башеева Кенесказыаевна</author>
  </authors>
  <commentList>
    <comment ref="Q33" authorId="0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Умбетову данные с этого столбца
</t>
        </r>
      </text>
    </comment>
    <comment ref="S33" authorId="0" shapeId="0">
      <text>
        <r>
          <rPr>
            <b/>
            <sz val="9"/>
            <color indexed="81"/>
            <rFont val="Tahoma"/>
            <family val="2"/>
            <charset val="204"/>
          </rPr>
          <t>Жанна Башеева Кенесказыаевна:</t>
        </r>
        <r>
          <rPr>
            <sz val="9"/>
            <color indexed="81"/>
            <rFont val="Tahoma"/>
            <family val="2"/>
            <charset val="204"/>
          </rPr>
          <t xml:space="preserve">
Умбетову данные с этого столбца
</t>
        </r>
      </text>
    </comment>
  </commentList>
</comments>
</file>

<file path=xl/comments5.xml><?xml version="1.0" encoding="utf-8"?>
<comments xmlns="http://schemas.openxmlformats.org/spreadsheetml/2006/main">
  <authors>
    <author>Алимжанова Данира Каиртеновна</author>
  </authors>
  <commentList>
    <comment ref="E9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было 4 352,5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  <charset val="204"/>
          </rPr>
          <t>Алимжанова Данира Каиртеновна:</t>
        </r>
        <r>
          <rPr>
            <sz val="9"/>
            <color indexed="81"/>
            <rFont val="Tahoma"/>
            <family val="2"/>
            <charset val="204"/>
          </rPr>
          <t xml:space="preserve">
было 58</t>
        </r>
      </text>
    </comment>
  </commentList>
</comments>
</file>

<file path=xl/comments6.xml><?xml version="1.0" encoding="utf-8"?>
<comments xmlns="http://schemas.openxmlformats.org/spreadsheetml/2006/main">
  <authors>
    <author>Уринбасарова Молдир Манасовна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увеличили стоимость проекта на сумму 2,3 млрд.тенге</t>
        </r>
      </text>
    </comment>
    <comment ref="H23" authorId="0" shapeId="0">
      <text>
        <r>
          <rPr>
            <b/>
            <sz val="9"/>
            <color indexed="81"/>
            <rFont val="Tahoma"/>
            <family val="2"/>
            <charset val="204"/>
          </rPr>
          <t>Уринбасарова Молдир Манасовна:</t>
        </r>
        <r>
          <rPr>
            <sz val="9"/>
            <color indexed="81"/>
            <rFont val="Tahoma"/>
            <family val="2"/>
            <charset val="204"/>
          </rPr>
          <t xml:space="preserve">
доп.соглашение к ДПГ от 22.04.22г.</t>
        </r>
      </text>
    </comment>
  </commentList>
</comments>
</file>

<file path=xl/sharedStrings.xml><?xml version="1.0" encoding="utf-8"?>
<sst xmlns="http://schemas.openxmlformats.org/spreadsheetml/2006/main" count="7681" uniqueCount="2428">
  <si>
    <t>№</t>
  </si>
  <si>
    <t xml:space="preserve">Этапы сбора документов </t>
  </si>
  <si>
    <t xml:space="preserve">Обращение в Фонд за проверкой на соответствие Застройщика требованиям Закона </t>
  </si>
  <si>
    <t xml:space="preserve">Длительность этапа </t>
  </si>
  <si>
    <t xml:space="preserve">Процедура </t>
  </si>
  <si>
    <t xml:space="preserve">Отработка вопроса с земельным участком </t>
  </si>
  <si>
    <t xml:space="preserve">Поиск Застройщика, соответствующего требованиям Закона </t>
  </si>
  <si>
    <t xml:space="preserve">Отработка вопроса с ПСД </t>
  </si>
  <si>
    <t xml:space="preserve">Проводится полная консультация Застройщика на площадке Фонда, либо по телефону </t>
  </si>
  <si>
    <t>При несоответствии обратившегося Застройщика требованиям Закона, строительная компания осуществляет поиск подходящего Застройщика, либо ожидает ввода в эксплуатацию объектов для подтверждения опыта</t>
  </si>
  <si>
    <t xml:space="preserve">1 день, либо дольше, если по телефону </t>
  </si>
  <si>
    <t xml:space="preserve">Этапы </t>
  </si>
  <si>
    <t xml:space="preserve">Данный этап может занимать от 1 месяца до 6 месяцев, иногда больше </t>
  </si>
  <si>
    <t xml:space="preserve">Разработка ПСД, внесение корректировок в ПСД, разработка сметы (ранее при строительстве на частные инвестиции экспертиза сметы не требовалось), получение положительной экспертизы либо в РГП "Госэкспертиза" либо частной экспертизы. Также на данном этапе возможна разработка ПСД на наружные сети (ИКИ) и ее экспертизы. </t>
  </si>
  <si>
    <t>Проведение аудита финансовой отчетности, оценки и техаудита незавершенного строительства</t>
  </si>
  <si>
    <t xml:space="preserve">Занимает от недели до 3 недель, если проводить указанные мероприятия параллельно. </t>
  </si>
  <si>
    <t>Аудит и оценка</t>
  </si>
  <si>
    <t xml:space="preserve">    </t>
  </si>
  <si>
    <t>ВСЕГО</t>
  </si>
  <si>
    <t>Приложение 1</t>
  </si>
  <si>
    <t>Ограничения сроков по разработке и корректировке ПСД не имеется. На практике Застройщик корректировал ПСД более 6 месяцев (для сведения). Получение заключения занимает 45 рабочих дней с момента подписания договора. Между Фондом и РГП "Госэкспертиза" имеется соглашение, предусматривающее приоритизацию проектов, планирующих гарантию Фонда, что сокращает сроки рассмотрения</t>
  </si>
  <si>
    <t>Решение данного вопроса может занимать от 1 месяца до момента решения вопроса местным исполнительным органом. Объединение участков осуществляется через решение суда и занимает от 3 месяцев и выше</t>
  </si>
  <si>
    <t xml:space="preserve">Если земельный участок находится на праве частной собственности, данный этап опускается. Однако, если земельный участок на праве краткосрочной аренды, необходимо продлить срок аренды на долгосрочный. Застройщик обращается в Фонд с письмом, Фонд подтверждает соответствие Застройщика требованиям Закона. Застройщик может согласно Меморандуму Фонда с акиматом г.Астана продлить аренду земельного участка в течение 20 рабочих дней. Еще один вопрос - объединение участков, при наличии нескольких актов на земельный участок, что осуществляется через суд
</t>
  </si>
  <si>
    <t>г. Алматы</t>
  </si>
  <si>
    <t>Наименование Проекта, регион, уровень и дата принятия решения и ДПГ</t>
  </si>
  <si>
    <t xml:space="preserve">Застройщик/уполномоченная компания </t>
  </si>
  <si>
    <t>Стоимость, тенге</t>
  </si>
  <si>
    <t>Площадь, кв.м по Проекту</t>
  </si>
  <si>
    <t>-</t>
  </si>
  <si>
    <r>
      <t>Себестоимость
 1 м</t>
    </r>
    <r>
      <rPr>
        <b/>
        <i/>
        <vertAlign val="superscript"/>
        <sz val="12"/>
        <color indexed="9"/>
        <rFont val="Times New Roman"/>
        <family val="1"/>
        <charset val="204"/>
      </rPr>
      <t>2</t>
    </r>
  </si>
  <si>
    <t>Количество квартир по Проекту</t>
  </si>
  <si>
    <t>Этажность</t>
  </si>
  <si>
    <t xml:space="preserve">Готовность объекта строительства (СМР) </t>
  </si>
  <si>
    <t>Дата начала строительства</t>
  </si>
  <si>
    <t xml:space="preserve">Дата завершения </t>
  </si>
  <si>
    <t>Гарантийный взнос, тенге</t>
  </si>
  <si>
    <t>ТОО "Милан-Астана"/ТОО "Turan Towers"</t>
  </si>
  <si>
    <t xml:space="preserve"> 192 тыс. тг/1м2</t>
  </si>
  <si>
    <t>1, 7, 9, 12, 19</t>
  </si>
  <si>
    <t>ТОО "Объединение-Сайран"/ТОО "Sayran Социал"</t>
  </si>
  <si>
    <t>205 тыс. тг/1м2</t>
  </si>
  <si>
    <t>ТОО "Елимай-Invest"/ТОО "КапСтрой Девелопмент"</t>
  </si>
  <si>
    <t>67,8 тыс. тг/1м2</t>
  </si>
  <si>
    <t>12, 13, 16</t>
  </si>
  <si>
    <t>202,6 тыс. тг/1м2</t>
  </si>
  <si>
    <t>ТОО "BAZIS-A Corp." / ТОО "Euro City-1"</t>
  </si>
  <si>
    <t>168,6 тыс. тг/1м2</t>
  </si>
  <si>
    <t>8,12,14</t>
  </si>
  <si>
    <t>ТОО "Garant stroy" / ТОО "УКиСС"</t>
  </si>
  <si>
    <t>197,4 тыс. тг/1м2</t>
  </si>
  <si>
    <t>ТОО "Garant stroy" / ТОО "NEXPO City"</t>
  </si>
  <si>
    <t>174 тыс. тг/1м2</t>
  </si>
  <si>
    <t>9,10,15</t>
  </si>
  <si>
    <t>7, 9, 12</t>
  </si>
  <si>
    <t xml:space="preserve">ВСЕГО </t>
  </si>
  <si>
    <t xml:space="preserve">Гарантии, выданные в 2021 году </t>
  </si>
  <si>
    <t>Дата заключения договора о предоставлении гарантии</t>
  </si>
  <si>
    <t>Количество квартир по факту (после ввода)*</t>
  </si>
  <si>
    <t>205,9 тыс. тг/1м2</t>
  </si>
  <si>
    <t>ТОО "Компания Индустрия строительства"/ТОО "Алматаустрой"</t>
  </si>
  <si>
    <t>ТОО "BAZIS-A Corp." / ТОО "DOSTYK LAND"</t>
  </si>
  <si>
    <t>158,7 тыс. тг/1м2</t>
  </si>
  <si>
    <t>ТОО "Жетісу ЖҚ"/ТОО "УК Шахристан"</t>
  </si>
  <si>
    <t>205,6 тыс. тг/1м2</t>
  </si>
  <si>
    <t>7, 9</t>
  </si>
  <si>
    <t>ТОО "BAZIS-A Corp."/ТОО "Sovico group"</t>
  </si>
  <si>
    <t>285,3 тыс. тг/1м2</t>
  </si>
  <si>
    <t xml:space="preserve">09.12.2020 г. – блок 3 (секции 7,8,9);
19.08.2020 г. – блок 4 (паркинг)
</t>
  </si>
  <si>
    <t>ТОО "BAZIS-A Corp." / ТОО "Аллея тысячелетия-4"</t>
  </si>
  <si>
    <t>147,1 тыс. тг/1м2</t>
  </si>
  <si>
    <t>ТОО "Елимай-Invest"/ТОО "TEES"</t>
  </si>
  <si>
    <t>84,2 тыс. тг/1м2</t>
  </si>
  <si>
    <t>1, 18, 20</t>
  </si>
  <si>
    <t xml:space="preserve">Гарантии, выданные в 2020 году </t>
  </si>
  <si>
    <t>ЖК ASQAT, очередь 2 г. Нур-Султан, Решение СД от 14.02.2020г.</t>
  </si>
  <si>
    <t>ТОО "АсТи-Строй"/ТОО "ASTI GROUP"</t>
  </si>
  <si>
    <t>174,0 тыс. тг/1м2</t>
  </si>
  <si>
    <t>Введен в эксплуатацию 26.11.2020</t>
  </si>
  <si>
    <t>ЖК ASQAT, очередь 3, г. Нур-Султан, Решение СД от 14.02.2020г.</t>
  </si>
  <si>
    <t>МЖК Alma City, 3-оч. 2-й пуск.комплекс, г. Алматы, Решение СД от 30.01.2020г.</t>
  </si>
  <si>
    <t>ТОО "Qazaq Stroy"/ТОО "ЫРЫСТЫ 46/2"</t>
  </si>
  <si>
    <t>91,9 тыс. тг/1м2</t>
  </si>
  <si>
    <t>Введен в эксплуатацию 22.12.2020</t>
  </si>
  <si>
    <t>МЖК 12 месяцев (на Макатаева), 2-очередь, г. Алматы, Решение СД от 30.01.2020г.</t>
  </si>
  <si>
    <t>ТОО "Qazaq Stroy"/ТОО "Макатаева 127"</t>
  </si>
  <si>
    <t>130,7 тыс. тг/1м2</t>
  </si>
  <si>
    <t>Введен в эксплуатацию 30.09.2020</t>
  </si>
  <si>
    <t>ЖК в г. Атырау, Решение Правления от 19.05.2020г.</t>
  </si>
  <si>
    <t>ТОО "Direct Construction Service"/ТОО "Yerkin Management Group"</t>
  </si>
  <si>
    <t>195,2 тыс. тг 1м2</t>
  </si>
  <si>
    <t>Введен в эксплуатацию 31.12.2020</t>
  </si>
  <si>
    <t>МЖК Сохо, г. Нур-Султан, Решение Правления 16.01.2019г.</t>
  </si>
  <si>
    <t>276,0 тыс. тг/1м2</t>
  </si>
  <si>
    <t>ТОО "Милан-Астана"/ТОО "Цесинстрой"</t>
  </si>
  <si>
    <t>322,9 тыс. тг/1м2</t>
  </si>
  <si>
    <t>МЖК Нова Сити на Туране. Г. Нур-Султан, Решение СД от 30.01.2020г.</t>
  </si>
  <si>
    <t>ТОО "Милан-Астана"/ТОО "СК БАЗАР"</t>
  </si>
  <si>
    <t>248,5 тыс. тг/1м2</t>
  </si>
  <si>
    <t>МЖК Нова Сити на Рыскулбекова г. Нур-Султан, Решение СД от 30.01.2020г.</t>
  </si>
  <si>
    <t>ТОО "Милан-Астана"/ТОО "Salamat Stroy"</t>
  </si>
  <si>
    <t>188,3 тыс. тг/1м2</t>
  </si>
  <si>
    <t>1,9,12</t>
  </si>
  <si>
    <t>МЖК Land Mark г. Нур-Султан, Решение СД от 14.02.2020г.</t>
  </si>
  <si>
    <t>МЖК Олимпийский, 1 очередь, г. Нур-Султан, Решение СД от 14.02.2020г.</t>
  </si>
  <si>
    <t>ТОО "Орда строй групп" / ТОО "Олимпийский"</t>
  </si>
  <si>
    <t>206,3 тыс. тг/1м2</t>
  </si>
  <si>
    <t>ТОО "BAZIS-A Corp."/ТОО "Ак Дидар-2"</t>
  </si>
  <si>
    <t>146,0 тыс. тг/1м2</t>
  </si>
  <si>
    <t>ТОО "Милан Астана" /ТОО "Туран Сити"</t>
  </si>
  <si>
    <t>193 717 тыс. тг/1м2</t>
  </si>
  <si>
    <t>2,9,12</t>
  </si>
  <si>
    <t xml:space="preserve">МЖК Парасат 2 очередь, г. Алматы. Решение СД от 06.04.2020г. </t>
  </si>
  <si>
    <t>ТОО "SHEBERBUILD"/ ТОО "SHEBERGOOD"</t>
  </si>
  <si>
    <t>196,7 тыс. тг/1м2</t>
  </si>
  <si>
    <t>233,0 тыс. тг/1м2</t>
  </si>
  <si>
    <t>181,2 тыс. тг/1м2</t>
  </si>
  <si>
    <t>1,2,22</t>
  </si>
  <si>
    <t>ТОО "Елимай-Invest"/ТОО "ЖК "Теремки"</t>
  </si>
  <si>
    <t>125,5 тыс. тг 1м2</t>
  </si>
  <si>
    <t xml:space="preserve">МЖК K7 Family, г. Атырау, Решение СД от 03.07.2020г. </t>
  </si>
  <si>
    <t>ТОО "Сартай Энерго Сервис"/ТОО "K7 Construction"</t>
  </si>
  <si>
    <t>128,9 тыс. тг/1м2</t>
  </si>
  <si>
    <t>152,7 тыс. тг/1м2</t>
  </si>
  <si>
    <t>280,4 тыс. тг/1м2</t>
  </si>
  <si>
    <t>143,1 тыс. тг/1м2</t>
  </si>
  <si>
    <t>18, 20</t>
  </si>
  <si>
    <t>256,3 тыс. тг/1м2</t>
  </si>
  <si>
    <r>
      <t>ТОО "BAZIS-A Corp."/ТОО "Amsterdam City"</t>
    </r>
    <r>
      <rPr>
        <sz val="12"/>
        <color indexed="54"/>
        <rFont val="Calibri"/>
        <family val="2"/>
        <charset val="204"/>
      </rPr>
      <t xml:space="preserve"> </t>
    </r>
  </si>
  <si>
    <t>166,1 тыс. тг/1м2</t>
  </si>
  <si>
    <t>ЖК Стандарт, г. Шымкент, Решение Правления от 27.08.2020г.</t>
  </si>
  <si>
    <t>ТОО "Оңтүстік құрылыс Сервис"/ТОО "ЖК Standard"</t>
  </si>
  <si>
    <t>197 тыс. тг/1м2</t>
  </si>
  <si>
    <t>ТОО "BAZIS-A Corp."/ТОО "Строй Билдинг Астана"</t>
  </si>
  <si>
    <t>143 тыс. тг/1м2</t>
  </si>
  <si>
    <t>МЖК Жер Ана, г. Алматы, Решение СД от 04.09.2020г.</t>
  </si>
  <si>
    <t>ТОО "Атрикс строй"/ТОО "Жилой комплекс Жер-Ана"</t>
  </si>
  <si>
    <t>227 тыс. тг/1м2</t>
  </si>
  <si>
    <t>МЖК Гулдер 3 очередь, г. Алматы, Решение Правления от 05.10.2020г.</t>
  </si>
  <si>
    <t>ТОО "Компания Индустрия Строительства"/ТОО "Сармат Групп"</t>
  </si>
  <si>
    <t>245,5 тыс. тг/1м2</t>
  </si>
  <si>
    <t>202,9 тыс. тг/1м2</t>
  </si>
  <si>
    <t>МЖК Alma City, 3-оч. 3-й пуск.комплекс, г. Алматы</t>
  </si>
  <si>
    <t>51,4 тыс. тг/1м2</t>
  </si>
  <si>
    <t>ТОО "Comfort Development"/ТОО "Comfort Туран"</t>
  </si>
  <si>
    <t>205,5 тыс. тг/1м2</t>
  </si>
  <si>
    <t>ТОО "BAZIS-A Corp."/ТОО "Amsterdam city"</t>
  </si>
  <si>
    <t>162,0 тыс. тг/1м2</t>
  </si>
  <si>
    <t>ТОО "BAZIS-A Corp."/ТОО "Ак Дидар 2"</t>
  </si>
  <si>
    <t>132,0 тыс. тг/1м2</t>
  </si>
  <si>
    <t>14-15</t>
  </si>
  <si>
    <t>9-10</t>
  </si>
  <si>
    <t>7,9,12,19</t>
  </si>
  <si>
    <t>209,9 тыс.тг/1м2</t>
  </si>
  <si>
    <t>2, 9, 12</t>
  </si>
  <si>
    <t>8-9</t>
  </si>
  <si>
    <t>4,7,9</t>
  </si>
  <si>
    <t>5,7,9</t>
  </si>
  <si>
    <t>14-16</t>
  </si>
  <si>
    <t>Примечание: *общая жилая площадь и количество квартир после ввода объекта в эксплуатацию может изменяться, приведены данные согласно Актов приемки объектов в эксплуатацию</t>
  </si>
  <si>
    <t>количество проектов</t>
  </si>
  <si>
    <t>площадь по Проекту</t>
  </si>
  <si>
    <t>кол-во квартир по Проекту</t>
  </si>
  <si>
    <r>
      <t xml:space="preserve">ВСЕГО ПРОГАРАНТИРОВАНО </t>
    </r>
    <r>
      <rPr>
        <b/>
        <u/>
        <sz val="14"/>
        <rFont val="Times New Roman"/>
        <family val="1"/>
        <charset val="204"/>
      </rPr>
      <t/>
    </r>
  </si>
  <si>
    <t>ВСЕГО СУММА ГАРАНТИЙНОГО ВЗНОСА ПО ВЫДАННЫМ ГАРАНТИЯМ</t>
  </si>
  <si>
    <r>
      <t xml:space="preserve">ИЗ НИХ ВВЕДЕНЫ В ЭКСПЛУАТАЦИЮ </t>
    </r>
    <r>
      <rPr>
        <b/>
        <u/>
        <sz val="14"/>
        <rFont val="Times New Roman"/>
        <family val="1"/>
        <charset val="204"/>
      </rPr>
      <t/>
    </r>
  </si>
  <si>
    <t>ИЗ НИХ ПО ВВЕДЕННЫМ В ЭКСПЛУАТАЦИЮ</t>
  </si>
  <si>
    <r>
      <t xml:space="preserve">ДЕЙСТВУЮТ ГАРАНТИИ  </t>
    </r>
    <r>
      <rPr>
        <b/>
        <u/>
        <sz val="14"/>
        <rFont val="Times New Roman"/>
        <family val="1"/>
        <charset val="204"/>
      </rPr>
      <t/>
    </r>
  </si>
  <si>
    <t>ПО ДЕЙСТВУЮЩИМ ГАРАНТИЯМ</t>
  </si>
  <si>
    <t>ПРОЕКТЫ НА РАССМОТРЕНИИ</t>
  </si>
  <si>
    <t>ПО РАССМАТРИВАЕМЫМ ПРОЕКТАМ</t>
  </si>
  <si>
    <t>В разрезе регионов</t>
  </si>
  <si>
    <t>из них завершенные</t>
  </si>
  <si>
    <t>из них действующие</t>
  </si>
  <si>
    <t>Алматинская обл.</t>
  </si>
  <si>
    <t>г. Шымкент</t>
  </si>
  <si>
    <t>г. Уральск</t>
  </si>
  <si>
    <t>г. Атырау</t>
  </si>
  <si>
    <t>Площадь, кв.м</t>
  </si>
  <si>
    <t>Количество квартир</t>
  </si>
  <si>
    <t>7,9,11,17,20,22</t>
  </si>
  <si>
    <t>Пятно 1 – 30.11.2018 года;
Пятно 2 – 30.09.2018 года;
Пятно 3 – 30.04.2018 года
Наружные сети – 01.08.2019 года</t>
  </si>
  <si>
    <t>Пятно 1 – 30.12.2020 года;
Пятно 2 – 30.12.2020 года;
Пятно 3 – 30.12.2020 года
Наружные сети – 28.02.2020 года</t>
  </si>
  <si>
    <t>Проекты, по которым ДПГ не заключен</t>
  </si>
  <si>
    <t>Проекты, по которым ДПГ был расторгнут</t>
  </si>
  <si>
    <t>153,4 тыс. тг/1м2</t>
  </si>
  <si>
    <t>МЖК Асыл Мура, блок F, г. Нур-Султан, Решение Правления от 05.03.2021г.</t>
  </si>
  <si>
    <t>МЖК Монако, г. Нур-Султан, Решение Правления от 23.02.2021г.</t>
  </si>
  <si>
    <t>ТОО "Компания "Индустрия Строительства" / ТОО "Сармат Групп"</t>
  </si>
  <si>
    <t>217,3 тыс. тг/1м2</t>
  </si>
  <si>
    <t>Введен в эксплуатацию 29.03.2021</t>
  </si>
  <si>
    <t>МЖК NEXPO CITY, г. Нур-Султан, Решение Правления от 15.03.2021г.</t>
  </si>
  <si>
    <t>ТОО "Ңұр Астана Құрылыс"/ТОО "AULET CONSTRUCTION"</t>
  </si>
  <si>
    <t>245,6 тыс. тг/1м2</t>
  </si>
  <si>
    <t>9, 12</t>
  </si>
  <si>
    <t>152,2 тыс. тг/1м2</t>
  </si>
  <si>
    <t>ТОО "BAZIS-A Corp." / ТОО "Familia House"</t>
  </si>
  <si>
    <t>212,9 тыс. тг/1м2</t>
  </si>
  <si>
    <t>ТОО "Айзия KZ" / ТОО "ARMAN-TAU COMFORT"</t>
  </si>
  <si>
    <t>ТОО "СК А-Строй монтаж" / ТОО "SK STORY-21"</t>
  </si>
  <si>
    <t>ТОО "Строительная Компания Элитстрой"/ ТОО "Уполномоченная компания "Алма Тау 2021"</t>
  </si>
  <si>
    <t>ТОО "MabexTrade Ltd"/ТОО "MAB Qurylys KZ"</t>
  </si>
  <si>
    <t>ТОО "СИНТЭКО" / ТОО "ЭКОПОТОК"</t>
  </si>
  <si>
    <t xml:space="preserve">МЖК Парасат 3 очередь, пятна 7-13, г. Алматы. Решение Правления от 01.04.2021г. </t>
  </si>
  <si>
    <t xml:space="preserve">МЖК Австрийский квартал, г. Нур-Султан, Решение Правления от 18.03.2021г. </t>
  </si>
  <si>
    <t>ТОО "BAZIS-A Corp." / ТОО "Восточный квартал"</t>
  </si>
  <si>
    <t>206,5 тыс. тг/1м2</t>
  </si>
  <si>
    <t>234,5 тыс. тг/1м2</t>
  </si>
  <si>
    <t>157,7 тыс. тг/1м2</t>
  </si>
  <si>
    <t>198,6 тыс. тг/1м2</t>
  </si>
  <si>
    <t>153,0 тыс. тг/1м2</t>
  </si>
  <si>
    <t>Введен в эксплуатацию 15.04.2021</t>
  </si>
  <si>
    <t>МЖК Асыл Мура, Блок А, г. Нур-Султан, Решение СД от 30.01.2020г.</t>
  </si>
  <si>
    <t>г. Актау</t>
  </si>
  <si>
    <t>МЖК HEAVEN, г. Алматы, Решение Правления от 13.04.2021г.</t>
  </si>
  <si>
    <t xml:space="preserve">МЖК Esil Tower, 1 оч., г. Нур-Султан, Решение Правления от 01.04.2021г. </t>
  </si>
  <si>
    <t>ТОО "Тұран Құрылыс НС"/ТОО "AMETA GROUP"</t>
  </si>
  <si>
    <t>ТОО "Ethna Group"/ТОО "Riverside Tower"</t>
  </si>
  <si>
    <t>ТОО "KazSMU"/ТОО "Gul-Ana"</t>
  </si>
  <si>
    <t>212,6 тыс. тг/1м2</t>
  </si>
  <si>
    <t>ТОО "Garant stroy"/ТОО "NC-MS"</t>
  </si>
  <si>
    <t>212,0 тыс. тг/1м2</t>
  </si>
  <si>
    <t>9, 16</t>
  </si>
  <si>
    <t>ТОО "BAZIS-A Corp."/ТОО "Astana real estate 2017"</t>
  </si>
  <si>
    <t>121,8 тыс. тг/1м2</t>
  </si>
  <si>
    <t>ТОО "Сартай Энерго сервис"/ТОО "K7 Construction"</t>
  </si>
  <si>
    <t>152,8 тыс. тг/1м2</t>
  </si>
  <si>
    <t>ТОО "BAZIS-A Corp."/ТОО "Dostyk Land"</t>
  </si>
  <si>
    <t>ТОО "Милан-Астана"/ТОО "Salamat stroy"</t>
  </si>
  <si>
    <r>
      <t>ВСЕГО ВЫДАНО ГАРАНТИЙ ПО 29</t>
    </r>
    <r>
      <rPr>
        <b/>
        <u/>
        <sz val="15"/>
        <color theme="1"/>
        <rFont val="Times New Roman"/>
        <family val="1"/>
        <charset val="204"/>
      </rPr>
      <t xml:space="preserve"> ПРОЕКТАМ</t>
    </r>
  </si>
  <si>
    <t>147,9 тыс. тг/1м2</t>
  </si>
  <si>
    <t>1 очередь – 07.12.2020г.;
2 очередь – 11.01.2021г.;
4 очередь -  07.12.2020г.</t>
  </si>
  <si>
    <t xml:space="preserve">МЖК Гулдер 3 очередь, 1 пусковой, г.Алматы, Решение Правления от 01.04.2021г. </t>
  </si>
  <si>
    <t>ТОО "Оңтүстік құрылыс Сервис"/ТОО "Prime Park"</t>
  </si>
  <si>
    <t>310,7 тыс. тг/1м2</t>
  </si>
  <si>
    <t>149,5 тыс. тг/1м2</t>
  </si>
  <si>
    <t>198,1 тыс. тг/1м2</t>
  </si>
  <si>
    <t>МЖК SOHO, блок 3,4, г. Нур-Султан, Решение Правления от 05.02.2021г.</t>
  </si>
  <si>
    <t xml:space="preserve">МЖК Сердце Столицы, 1 оч. Наружные инженерные сети, г. Нур-Султан, </t>
  </si>
  <si>
    <t>МЖК Нова Сити на Туране, 1 очередь. Наружные инженерные сети. г. Нур-Султан, Решение Правления от 25.06.2020г.</t>
  </si>
  <si>
    <t>ТОО "Exclusive Construction (Эксклюзив Констракшн)"/ТОО "Exclusive Северное
Кольцо"</t>
  </si>
  <si>
    <t>225,5 тыс. тг/1м2</t>
  </si>
  <si>
    <t>96,6 тыс. тг/1м2</t>
  </si>
  <si>
    <t>152,9 тыс. тг/1м2</t>
  </si>
  <si>
    <t>Введен в эксплуатацию 13.05.2021</t>
  </si>
  <si>
    <t>ТОО "BAZIS-A Corp."/ТОО "Аллея Тысячелетия-4"</t>
  </si>
  <si>
    <t xml:space="preserve">МЖК Әулиет, г. Нур-Султан, Решение Правления от 05.05.2021г. </t>
  </si>
  <si>
    <t>122,7 тыс. тг/1м2</t>
  </si>
  <si>
    <t>ТОО "Елимай-Invest"/ТОО "Commercial Estate Company"</t>
  </si>
  <si>
    <t>84,1 тыс. тг/1м2</t>
  </si>
  <si>
    <t>ТОО "Garant stroy"/ТОО "АДМ Строй НС"</t>
  </si>
  <si>
    <t>230,6 тыс. тг/1м2</t>
  </si>
  <si>
    <t>262,5 тыс. тг/1м2</t>
  </si>
  <si>
    <t>9,12,14</t>
  </si>
  <si>
    <t xml:space="preserve">МЖК Гулдер 4 очередь, 1 пусковой, г.Алматы, Решение Правление от 04.06.2021г. </t>
  </si>
  <si>
    <t>ТОО "Garant Stroy"/ТОО "NC Invest</t>
  </si>
  <si>
    <t>138,2 тыс. тг/1м2</t>
  </si>
  <si>
    <t>245 тыс. тг/1м2</t>
  </si>
  <si>
    <t>ТОО "Биік Шаңырақ"/ТОО "РДМ-Сервис"</t>
  </si>
  <si>
    <t>189 тыс.тг/1м2</t>
  </si>
  <si>
    <t>Введен в эксплуатацию 22.02.2021</t>
  </si>
  <si>
    <t>Введен в эксплуатацию 05.06.2021</t>
  </si>
  <si>
    <t>ТОО "BAZIS-A Corp." / ТОО "Орынбор 2017"</t>
  </si>
  <si>
    <t>264,5 тыс.тг/1м2</t>
  </si>
  <si>
    <t>ТОО "Каспий Құрылыс ЛТД" / ТОО "Garant Investment"</t>
  </si>
  <si>
    <t>ТОО "ASTANA CAPITAL building project" / ТОО "Almaty Development Company"</t>
  </si>
  <si>
    <t>180,4тыс.тг/1м2</t>
  </si>
  <si>
    <t>ТОО "АсТи-Строй" / ТОО "Astana Real Estate Company"</t>
  </si>
  <si>
    <t xml:space="preserve">МЖК Сити Плюс, 1-й пусковой комплекс, блоки 1-11, г. Алматы, Решение Правления от 14.07.2021г. </t>
  </si>
  <si>
    <t>МЖК Laketown 2 очередь, г. Алматы. Решение Правления от 01.07.2021г.</t>
  </si>
  <si>
    <t>МЖК Asyl Mura, блок Е, г. Нур-Султан. Решение Правления от 01.07.2021г.</t>
  </si>
  <si>
    <t>МЖК Argento п 1,2. г. Нур-Султан, Решение Правления от 01.07.2021г.</t>
  </si>
  <si>
    <t>121 тыс.тг/1м2</t>
  </si>
  <si>
    <t>ТОО "Sensata Construction"/ТОО "Sigma Byild"</t>
  </si>
  <si>
    <t>174,8тыс.тг/1м2</t>
  </si>
  <si>
    <t>12, 14, 16, 18</t>
  </si>
  <si>
    <t>ТОО "Милан-Астана"/ТОО "Камал Центр Астана"</t>
  </si>
  <si>
    <t>188,7 тыс.тг/1м2</t>
  </si>
  <si>
    <t>274,8тыс.тг/1м2</t>
  </si>
  <si>
    <t>Введен в эксплуатацию 21.07.2021</t>
  </si>
  <si>
    <t xml:space="preserve">ЖК Хоккайдо, г. Нур-Султан, Решение Правления от 03.08.2021г. </t>
  </si>
  <si>
    <t>ТОО "Елимай-Invest"/ТОО "Ңұр City Invest"</t>
  </si>
  <si>
    <t>90,7 тыс.тг/1м2</t>
  </si>
  <si>
    <t>202,8 тыс.тг/1м2</t>
  </si>
  <si>
    <t>Пятно 3 - 03.11.2022г.
Пятно 4 - 16.11.2022г.</t>
  </si>
  <si>
    <t>Пятно 3 - 03.07.2021г. 
Пятно 4 - 16.07.2021г.</t>
  </si>
  <si>
    <t xml:space="preserve">МЖК Алма Тау, пятна 7,8, Алматинская область, Решение Правления от 27.04.2021г. </t>
  </si>
  <si>
    <t>202,9 тыс.тг/1м2</t>
  </si>
  <si>
    <t>ТОО "Tau House Development"/ТОО "BERKAT BUILDING"</t>
  </si>
  <si>
    <t>ТОО "РинЭлд"/ТОО "Санбол"</t>
  </si>
  <si>
    <t>282,1 тыс.тг/1м2</t>
  </si>
  <si>
    <t>МЖК Бурабай, г. Нур-Султан,  Решение Правления от 10.08.2021г.</t>
  </si>
  <si>
    <t>192,5 тыс.тг/1м2</t>
  </si>
  <si>
    <t>ТОО "Garant stroy" / ТОО "NC Homes"</t>
  </si>
  <si>
    <t>301,8 тыс.тг/1м2</t>
  </si>
  <si>
    <t>ТОО "Garant stroy" / ТОО "Life Tow"</t>
  </si>
  <si>
    <t>248,8 тыс.тг/1м2</t>
  </si>
  <si>
    <t>МЖК Балауса, г.Нур-Султан, Решение Правления от 26.08.2021г.</t>
  </si>
  <si>
    <t>МЖК Сезим Кала 10, г.Нур-Султан, Решение Правления от 26.08.2021г.</t>
  </si>
  <si>
    <t>ТОО "Nova City Development" (ранее ТОО "Милан-Астана") / ТОО "Esil Town"</t>
  </si>
  <si>
    <t>189,4 тыс.тг/1м2</t>
  </si>
  <si>
    <t>Введен в эксплуатацию 10.09.2021</t>
  </si>
  <si>
    <t>МЖК Асыл Мура, блок А. Наружные инженерные сети. г. Нур-Султан, Решение Правления от 18.05.2021г.</t>
  </si>
  <si>
    <t>ТОО "Милан-Астана" / ТОО "Цесинстрой"</t>
  </si>
  <si>
    <t>ТОО "BAZIS-A Corp." / ТОО "Royal Town-1"</t>
  </si>
  <si>
    <t>12, 14</t>
  </si>
  <si>
    <t>Введен в эксплуатацию 29.06.2021</t>
  </si>
  <si>
    <t>МЖК Life Town, 1 очередь, г. Алматы, Решение Правления от 16.09.2021г.</t>
  </si>
  <si>
    <t>МЖК Auezov City, пятна 1, 2, г. Алматы, Решение Правления от 22.04.2021г.</t>
  </si>
  <si>
    <t>ТОО "Exclusive Construction (Эксклюзив Констракшн)"/ТОО "Eco Tower"</t>
  </si>
  <si>
    <t>302 тыс.тг/1м2</t>
  </si>
  <si>
    <t>7,9,12</t>
  </si>
  <si>
    <t>01.04.2021г 02.09.2021г</t>
  </si>
  <si>
    <t>01.11.2022     02.08.2022</t>
  </si>
  <si>
    <t>МЖК Озен, г. Нур-Султан, Решение Правления от 09.09.2021г.</t>
  </si>
  <si>
    <t>МЖК Auezov City, пятна 3, 4, г. Алматы, Решение Правления от 07.09.2021г.</t>
  </si>
  <si>
    <t>ТОО "Строительство зданий и сооружений/ТОО "VIP жилье"</t>
  </si>
  <si>
    <t>173,9 тыс.тг/1м2</t>
  </si>
  <si>
    <t>ТОО "Атырау ЖБИ 2005"/ТОО "MBS Capital"</t>
  </si>
  <si>
    <t>Введен в эксплуатацию 03.08.2021</t>
  </si>
  <si>
    <t>Введен в эксплуатацию 13.08.2021</t>
  </si>
  <si>
    <t>Введен в эксплуатацию 30.06.2021</t>
  </si>
  <si>
    <t>Введен в эксплуатацию 13.09.2021</t>
  </si>
  <si>
    <t>ТОО "Сартай Энерго Сервис"/ТОО "K7 Engineering"</t>
  </si>
  <si>
    <t>154,4 тыс.тг/1м2</t>
  </si>
  <si>
    <t>ТОО "BAZIS-A Corp."/ТОО "Ак Дидар 3"</t>
  </si>
  <si>
    <t>МЖК Терракота, 3 этап, блоки 3, 6, 9, 11 и 12, г.Алматы, Решение Правления от 11.02.2021г.</t>
  </si>
  <si>
    <t>МЖК Landmark, г.Нур-Султан, Решение Правления от 21.01.2021г.</t>
  </si>
  <si>
    <t>МЖК Шахристан, г. Нур-Султан, Решение Правления от 03.02.2021г.</t>
  </si>
  <si>
    <t xml:space="preserve">МЖК Онер, г. Алматы, Решение Правления от 14.01.2021г. </t>
  </si>
  <si>
    <t>МЖК на Даулпаз в г. Нур-Султан, Решение Правления от 12.01.2021г.</t>
  </si>
  <si>
    <t>МЖК Ақан Сері, г. Нур-Султан, Решение Правления от 20.04.2021г.</t>
  </si>
  <si>
    <t xml:space="preserve">МЖК Нова Сити Южный Треугольник, г. Нур-Султан, Решение Правления от 13.05.2021г. </t>
  </si>
  <si>
    <t xml:space="preserve">МЖК Discovery пятно 3/2, г. Нур-Султан, Решение Правления от 13.05.2021г. </t>
  </si>
  <si>
    <t xml:space="preserve">МЖК Landmark 2 очередь, г. Нур-Султан, Решение Правления от 25.05.2021г. </t>
  </si>
  <si>
    <t xml:space="preserve">МЖК Asyl Mura, блок Б, г. Нур-Султан, Решение Правления от 20.05.2021г. </t>
  </si>
  <si>
    <t xml:space="preserve">МЖК Nova City на Рыскулбекова 2 очередь, г. Нур-Султан,  Решение Правления от 20.05.2021г. </t>
  </si>
  <si>
    <t xml:space="preserve">МЖК Millenium Park, пятно 3, блок 23, г. Нур-Султан, Решение Правления от 25.05.2021г. </t>
  </si>
  <si>
    <t>МЖК K7 Family, 2-3 очередь, г. Атырау, Решение Правление от 08.06.2021г.</t>
  </si>
  <si>
    <t xml:space="preserve">МЖК Prime Park, г. Шымкент Решение Правление от 08.06.2021г. </t>
  </si>
  <si>
    <t xml:space="preserve">МЖК Gul Ana, г. Алматы, Решение Правление от 15.06.2021г. </t>
  </si>
  <si>
    <t xml:space="preserve">МЖК Северное кольцо, г.Алматы, Решение Правление от 28.06.2021г. </t>
  </si>
  <si>
    <t>МЖК Сулукол, г. Нур-Султан, Решение Правления от 14.07.2021г.</t>
  </si>
  <si>
    <t xml:space="preserve">МЖК в г. Актау, Решение Правления от 14.07.2021г. </t>
  </si>
  <si>
    <t xml:space="preserve">МЖК Стандарт, 2 очередь, г. Шымкент, Решение Правления от 27.07.2021г. </t>
  </si>
  <si>
    <t>МЖК SILVER, г Нур-Султан, Решение Правления от 10.08.2021г.</t>
  </si>
  <si>
    <t>МЖК Alma City 4-1, 1 этап, г.Алматы, Решение Правления от 16.09.2021г.</t>
  </si>
  <si>
    <t>МЖК Сезым Кала, 12 очередь, г. Нур-Султан, Решение Правления от 23.09.2021г.</t>
  </si>
  <si>
    <t>МЖК Амстердам, пятна 8-10, г. Нур-Султан, Решение от 10.08.2020г.</t>
  </si>
  <si>
    <t>МЖК Athletic, г. Нур-Султан, Решение Правления от 10.12.2020г.</t>
  </si>
  <si>
    <t>МЖК Argento, пятно 3, г. Нур-Султан, Решение Правления от 07.09.2020 г.</t>
  </si>
  <si>
    <t>МЖК Sezim Qala 6 оч.", г. Нур-Султан, Решение СД от 14.02.2020г.</t>
  </si>
  <si>
    <t>МЖК Nova City на Туране, 2 очередь, г. Нур-Султан, Решение СД от 17.08.2020г.</t>
  </si>
  <si>
    <t>ТОО "Ayt Housing Complex" 
(Айт Хаузинг Комплекс)/ТОО "Айт Құрылыс Сауда"</t>
  </si>
  <si>
    <r>
      <t>МЖК EXCLUSIVE DUET, г. Алматы,</t>
    </r>
    <r>
      <rPr>
        <b/>
        <i/>
        <sz val="12"/>
        <color rgb="FFFF0000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Решение Правления от 14.10.2021г.</t>
    </r>
  </si>
  <si>
    <t>МЖК Gulder 4 очередь, 2 пусковой, г.Алматы, Решение Правления от 28.09.2021г.</t>
  </si>
  <si>
    <t>237,5 тыс.тг/1м2</t>
  </si>
  <si>
    <t>81,0 тыс.тг/1м2</t>
  </si>
  <si>
    <t>192,1 тыс.тг/1м2</t>
  </si>
  <si>
    <t>ТОО "BI Development Astana"/ТОО "Green Line Terra"</t>
  </si>
  <si>
    <t>1, 9, 14, 20</t>
  </si>
  <si>
    <t>229,4 тыс.тг/1м2</t>
  </si>
  <si>
    <t>227,0 тыс.тг/1м2</t>
  </si>
  <si>
    <t>Введен в эксплуатацию 02.09.2021</t>
  </si>
  <si>
    <t>МЖК Монако, г. Нур-Султан, Решение Правления от 12.10.2021г.</t>
  </si>
  <si>
    <t>МЖК АТМОСФЕРА, г. Нур-Султан, Решение Правления от 23.09.2021г.</t>
  </si>
  <si>
    <t xml:space="preserve">МЖК SOHO. Блок-секции 4,5,6. г. Нур-Султан </t>
  </si>
  <si>
    <t>МЖК SOHO, Квартал 1В, Очереди 1 и 2, Блоки 1-7, 8.1., г. Нур-Султан, Решение Правления от 12.10.2021г.</t>
  </si>
  <si>
    <t>260,5 тыс. тг/1м2</t>
  </si>
  <si>
    <t xml:space="preserve">МЖК Сердце Столицы, 2 оч., г. Нур-Султан, Решение Правления от 01.04.2021г. </t>
  </si>
  <si>
    <t>г. Актобе</t>
  </si>
  <si>
    <t>ТОО "Stroy opt"/ТОО "Global-Invest company"</t>
  </si>
  <si>
    <t>1, 3, 20</t>
  </si>
  <si>
    <t>234,6 тыс.тг/1м2</t>
  </si>
  <si>
    <t>ТОО "СИНТЭКО"/ТОО "ЭКОПОТОК"</t>
  </si>
  <si>
    <t>12, 15, 17</t>
  </si>
  <si>
    <t>223,6 тыс.тг/1м2</t>
  </si>
  <si>
    <t>МЖК в г.Уральск</t>
  </si>
  <si>
    <t>МЖК Адам Арманы, г. Нур-Султан, Решение Правления от 26.10.2021г.</t>
  </si>
  <si>
    <t>ТОО "Bikom Realty"/ТОО "ONER Construction"</t>
  </si>
  <si>
    <t>169,2 тыс.тг/1м2</t>
  </si>
  <si>
    <t xml:space="preserve">МЖК Аккент, г. Алматы,  Решение Правление от 04.11.2021г., </t>
  </si>
  <si>
    <t>МЖК JM CITY Дом Парк, г. Нур-Султан, Решение Правления от 28.10.2021г.</t>
  </si>
  <si>
    <t>МЖК Batagai, 1, 2 очереди, г.Нур-Султан, Решение Правления от 16.11.2021 г.</t>
  </si>
  <si>
    <t>МЖК Alma City 4-1, 2 этап, Блоки 1-8, 36-39, 43-46,  г.Алматы, Решение Правление от 09.11.2021г.</t>
  </si>
  <si>
    <t>МЖК Австрийский квартал, блоки 4 и 11, г. Нур-Султан, Решение Правление от 02.11.2021г.</t>
  </si>
  <si>
    <t>МЖК Ак Дидар, пятна 16-18, г. Нур-Султан, Решение Правление от 02.11.2021г.</t>
  </si>
  <si>
    <r>
      <t xml:space="preserve">МЖК в г. Атырау, Решение Правление от 02.11.2021г., </t>
    </r>
    <r>
      <rPr>
        <b/>
        <i/>
        <sz val="12"/>
        <color rgb="FFFF0000"/>
        <rFont val="Times New Roman"/>
        <family val="1"/>
        <charset val="204"/>
      </rPr>
      <t/>
    </r>
  </si>
  <si>
    <t>МЖК Алия, г. Актобе,  Решение Правление от 04.11.2021г.</t>
  </si>
  <si>
    <t>Введен в эксплуатацию 08.10.2021</t>
  </si>
  <si>
    <t>282,4 тыс.тг/1м2</t>
  </si>
  <si>
    <t>238,9 тыс.тг/1м2</t>
  </si>
  <si>
    <t>235,5 тыс.тг/1м2</t>
  </si>
  <si>
    <t xml:space="preserve">МЖК Монако, пятно 4, г. Нур-Султан,  Решение Правления от 18.11.2021 г., </t>
  </si>
  <si>
    <t>ТОО "MERIDIAN stroy LTD"/ТОО "Egregor of Finance Sh.R"</t>
  </si>
  <si>
    <t>ТОО "Композит 7"/ТОО "Dostyq Invest Group"</t>
  </si>
  <si>
    <t>ТОО "РинЭлд"/ТОО "Азия Глобал Астана"</t>
  </si>
  <si>
    <t>ТОО "Nova City Development" (ранее ТОО "Милан-Астана") / ТОО "Цесинстрой"</t>
  </si>
  <si>
    <t>304,4 тыс.тг/1м2</t>
  </si>
  <si>
    <t>1, 9, 12, 14</t>
  </si>
  <si>
    <t>206,6 тыс.тг/1м2</t>
  </si>
  <si>
    <t>МЖК Angleterre, 2-я очередь, г. Нур-Султан, Решение Правления от 29.11.2021 г.</t>
  </si>
  <si>
    <r>
      <t>МЖК View Park Family, г. Нур-Султан, Решение Правления от 07.12.2021 г.</t>
    </r>
    <r>
      <rPr>
        <b/>
        <i/>
        <sz val="12"/>
        <color rgb="FFFF0000"/>
        <rFont val="Times New Roman"/>
        <family val="1"/>
        <charset val="204"/>
      </rPr>
      <t/>
    </r>
  </si>
  <si>
    <t>ТОО "Оңтүстік құрылыс Сервис"/ТОО "OKS-Shymcity"</t>
  </si>
  <si>
    <t>309,4 тыс.тг/1м2</t>
  </si>
  <si>
    <t>179,0 тыс.тг/1м2</t>
  </si>
  <si>
    <t>Введен в эксплуатацию 20.12.2021</t>
  </si>
  <si>
    <t>203,3 тыс.тг/1м2</t>
  </si>
  <si>
    <t>МЖК Асыл Мура, блок В. Наружные инженерные сети. г. Нур-Султан, Решение Правления от 23.11.2021г.</t>
  </si>
  <si>
    <t>ТОО "Nova City Development" / ТОО "Цесинстрой"</t>
  </si>
  <si>
    <t>ТОО "Nova City Development" / ТОО "Камал Центр Астана"</t>
  </si>
  <si>
    <t>ТОО "Nova City Development" / ТОО "Esil Town"</t>
  </si>
  <si>
    <t>ТОО "Елимай-Invest"/ТОО "Alma City 5/2"</t>
  </si>
  <si>
    <t>82,7 тыс.тг/1м2</t>
  </si>
  <si>
    <r>
      <t xml:space="preserve">ВСЕГО ВЫДАНО ГАРАНТИЙ ПО </t>
    </r>
    <r>
      <rPr>
        <b/>
        <u/>
        <sz val="15"/>
        <color theme="1"/>
        <rFont val="Times New Roman"/>
        <family val="1"/>
        <charset val="204"/>
      </rPr>
      <t>73 ПРОЕКТАМ</t>
    </r>
  </si>
  <si>
    <t>МЖК Аллея тысячелетия, блок 24, г.Нур-Султан, Решение Правления от 05.02.2021г.</t>
  </si>
  <si>
    <t>Введен в эксплуатацию 27.12.2021</t>
  </si>
  <si>
    <t>Введен в эксплуатацию 23.12.2021</t>
  </si>
  <si>
    <t xml:space="preserve">МЖК Теремки, 1-й пусковой комплекс, блоки 2-15, г. Алматы, Решение Правление от 28.06.2021г. </t>
  </si>
  <si>
    <t>МЖК Теремки, Блоки 16-27, г. Алматы, Решение СД от 16.06.2020г.</t>
  </si>
  <si>
    <t>МЖК Терракота, 1 этап, Блоки 2, 2/1, 5, 8 и 10г. Алматы, Решение СД от 03.07.2020г.</t>
  </si>
  <si>
    <t>МЖК Терракота, 2 этап, Блоки 4 и 7,  г. Алматы, Решение СД от 17.08.2020г.</t>
  </si>
  <si>
    <t>Введен в эксплуатацию 28.12.2021</t>
  </si>
  <si>
    <t>Введен в эксплуатацию 30.12.2021</t>
  </si>
  <si>
    <t>МЖК ARMAN-TAU COMFORT, 2 очередь, г. Нур-Султан, Решение Правления от 27.04.2021г.</t>
  </si>
  <si>
    <t>Введен в эксплуатацию 22.11.2021</t>
  </si>
  <si>
    <t>Введен в эксплуатацию 29.12.2021</t>
  </si>
  <si>
    <t xml:space="preserve">Гарантии, выданные в 2022 году </t>
  </si>
  <si>
    <t>МЖК Онер, 3 очередь г. Нур-Султан, Решение Правления от 23.12.2021 г.</t>
  </si>
  <si>
    <t>МЖК Престиж, г. Шымкент, Решение Правления от 30.12.2021 г.</t>
  </si>
  <si>
    <t>МЖК Alma City 5/2, Блоки 128-155, г.Алматы, Решение Правления от 31.12.2021 г.</t>
  </si>
  <si>
    <t>МЖК Uly Shanyrak, г. Шымкент</t>
  </si>
  <si>
    <t>ТОО "Kanfar Building"/ТОО "Birlik Satu"</t>
  </si>
  <si>
    <t>ТОО "Марапат 2011"/ТОО "LP Project"</t>
  </si>
  <si>
    <t>1, 9, 12</t>
  </si>
  <si>
    <t>196,6 тыс.тг/1м2</t>
  </si>
  <si>
    <t>137,4 тыс.тг/1м2</t>
  </si>
  <si>
    <t>ТОО "Елимай-Invest"/ТОО "ЖК "Кристалл"</t>
  </si>
  <si>
    <t>2, 20</t>
  </si>
  <si>
    <t>109,0 тыс.тг/1м2</t>
  </si>
  <si>
    <t>ТОО "БК-СТРОЙ"/ТОО "БК-Инвест 109"</t>
  </si>
  <si>
    <t xml:space="preserve">ТОО "BAZIS-A Corp." / ТОО "Royal Town-1" </t>
  </si>
  <si>
    <t>131,1 тыс.тг/1м2</t>
  </si>
  <si>
    <t>МЖК KULAN, г. Нур-Султан, решение Правления от 20.01.2022г.</t>
  </si>
  <si>
    <t>МЖК Сезым Кала 10 очередь. Наружные инженерные сети. г. Нур-Султан, решение Правления от 20.01.2022г.</t>
  </si>
  <si>
    <t>МЖК Сезым Кала 12 очередь. Наружные инженерные сети. г. Нур-Султан, решение Правления от 20.01.2022г.</t>
  </si>
  <si>
    <t>Введен в эксплуатацию 08.12.2021</t>
  </si>
  <si>
    <t>ТОО "BAZIS-A Corp." / ТОО "Аstana real estate 2017"</t>
  </si>
  <si>
    <t>136,2 тыс.тг/1м2</t>
  </si>
  <si>
    <t>МЖК Теремки, 3-й пусковой комплекс, г. Алматы, решение Правления от 20.01.2022г.</t>
  </si>
  <si>
    <t>МЖК Столичный-2, г. Нур-Султан, решение Правления от 27.01.2022г.</t>
  </si>
  <si>
    <t>МЖК Modern City, г. Шымкент, решение Правления от 27.01.2022г.</t>
  </si>
  <si>
    <t>МЖК Асыл Мура блок D, г. Нур-Султан, решение Правления от 27.01.2022г.</t>
  </si>
  <si>
    <t>г. Костанай</t>
  </si>
  <si>
    <t>Введен в эксплуатацию пятно 1 - 02.02.2022, пятно 2 - 24.12.2021</t>
  </si>
  <si>
    <t>МЖК SOHO 2 А, г. Нур-Султан,  решение Правления от 04.02.2022г.</t>
  </si>
  <si>
    <t>3 154,8</t>
  </si>
  <si>
    <t>259,6 тыс.тг/1м2</t>
  </si>
  <si>
    <t>Введен в эксплуатацию 18.02.2022</t>
  </si>
  <si>
    <t>31.06.2022</t>
  </si>
  <si>
    <t>16.03.2021г.</t>
  </si>
  <si>
    <t>МЖК Аман, пятна 1, 2, 3, г. Нур-Султан, Решение Правления от 19.08.2021г.</t>
  </si>
  <si>
    <t>МЖК в г. Костанай, решение Правления от 11.02.2022г.</t>
  </si>
  <si>
    <t>МЖК Лесная поляна, дом 40, Акмолинская обл., решение Правления от 24.02.2022г.</t>
  </si>
  <si>
    <t>Акмолинская обл.</t>
  </si>
  <si>
    <t>МЖК Кристалл, г. Алматы, решение Правления от 03.03.2022г.</t>
  </si>
  <si>
    <t>МЖК Discovery пятно 4, г. Нур-Султан , решение Правления от 24.02.2022г.</t>
  </si>
  <si>
    <t xml:space="preserve">ТОО "Композит-7"/ ТОО"Bereke Development Group" </t>
  </si>
  <si>
    <t>416,2 тыс.тг/1м2</t>
  </si>
  <si>
    <t>ТОО "Ayt Housing Complex" 
(Айт Хаузинг Комплекс)/ТОО "Ақкент Құрылыс"</t>
  </si>
  <si>
    <t>277,8 тыс.тг/1м2</t>
  </si>
  <si>
    <t xml:space="preserve">МЖК в г. Атырау, Решение Правление от 28.06.2021г. </t>
  </si>
  <si>
    <t>МЖК Birlik в г. Шымкент, решение Правления от 29.03.2022г.</t>
  </si>
  <si>
    <t>193,8 тыс.тг/1м2</t>
  </si>
  <si>
    <t>1, 14, 18</t>
  </si>
  <si>
    <t>Введен в эксплуатацию 14.02.2022</t>
  </si>
  <si>
    <t xml:space="preserve">МЖК Angleterre, 1-я очередь, г. Нур-Султан. Решение Правления от 01.07.2021г. </t>
  </si>
  <si>
    <t>Введен в эксплуатацию 10.11.2021</t>
  </si>
  <si>
    <t>ТОО "Элитстрой Алматы"/ТОО "Уполномоченная компания "Достар"</t>
  </si>
  <si>
    <t>173,5 тыс.тг/1м2</t>
  </si>
  <si>
    <t>ТОО "Atamura Group"/ТОО "Arlyn"</t>
  </si>
  <si>
    <t>288,1 тыс.тг/1м2</t>
  </si>
  <si>
    <t>ТОО "Аргон Строй"/ТОО "Bestbuilding"</t>
  </si>
  <si>
    <t>191,4 тыс.тг/1м2</t>
  </si>
  <si>
    <t>ТОО "Exclusive Construction (Эксклюзив Констракшн)"/ ТОО "Exclusive Северное Кольцо"</t>
  </si>
  <si>
    <t>220,1 тыс.тг/1м2</t>
  </si>
  <si>
    <t>не заключен</t>
  </si>
  <si>
    <t>Введен в эксплуатацию 05.04.2022</t>
  </si>
  <si>
    <t>Введен в эксплуатацию 25.04.2022</t>
  </si>
  <si>
    <r>
      <t>1 очередь – введен в эксплуатацию 01.04.2022г.</t>
    </r>
    <r>
      <rPr>
        <sz val="12"/>
        <rFont val="Times New Roman"/>
        <family val="1"/>
        <charset val="204"/>
      </rPr>
      <t xml:space="preserve">
</t>
    </r>
    <r>
      <rPr>
        <b/>
        <sz val="12"/>
        <rFont val="Times New Roman"/>
        <family val="1"/>
        <charset val="204"/>
      </rPr>
      <t>2 очередь – 11.08.2022г.;</t>
    </r>
    <r>
      <rPr>
        <sz val="12"/>
        <rFont val="Times New Roman"/>
        <family val="1"/>
        <charset val="204"/>
      </rPr>
      <t xml:space="preserve">
</t>
    </r>
    <r>
      <rPr>
        <b/>
        <sz val="12"/>
        <color rgb="FFFF0000"/>
        <rFont val="Times New Roman"/>
        <family val="1"/>
        <charset val="204"/>
      </rPr>
      <t xml:space="preserve"> 4 очередь -  введен в эксплуатацию 01.04.2022г.</t>
    </r>
  </si>
  <si>
    <t>Введен в эксплуатацию 21.04.2022</t>
  </si>
  <si>
    <t>Введен в эксплуатацию 13.05.2022</t>
  </si>
  <si>
    <t>9,12,17</t>
  </si>
  <si>
    <t>МЖК Khanzada, г.Шымкент,  решение Правления от 28.04.2022г.</t>
  </si>
  <si>
    <t>Введен в эксплуатацию 26.05.2022</t>
  </si>
  <si>
    <t>МЖК AK ZHELKEN, г.Алматы</t>
  </si>
  <si>
    <t>5 967 482 496</t>
  </si>
  <si>
    <t>21 602,8</t>
  </si>
  <si>
    <t>Дата расторжения ДПГ</t>
  </si>
  <si>
    <t xml:space="preserve">Проекты, по которым отозвана заявителями Зявка до решения Правления </t>
  </si>
  <si>
    <r>
      <t xml:space="preserve">МЖК Достар, пятно 13, Алматинская область решение Правления от 20.05.2022г., </t>
    </r>
    <r>
      <rPr>
        <b/>
        <i/>
        <sz val="12"/>
        <color rgb="FFFF0000"/>
        <rFont val="Times New Roman"/>
        <family val="1"/>
        <charset val="204"/>
      </rPr>
      <t xml:space="preserve">ДПГ на стадии подписания </t>
    </r>
  </si>
  <si>
    <r>
      <t xml:space="preserve">МЖК Auezov City, 3 очередь, пятна 5, 6, 7, г. Алматы, решение Правления от 10.06.2022г., </t>
    </r>
    <r>
      <rPr>
        <b/>
        <i/>
        <sz val="12"/>
        <color rgb="FFFF0000"/>
        <rFont val="Times New Roman"/>
        <family val="1"/>
        <charset val="204"/>
      </rPr>
      <t xml:space="preserve">ДПГ на стадии подписания </t>
    </r>
  </si>
  <si>
    <r>
      <t xml:space="preserve">МЖК Landmark, 4 очередь, пятна 1, 2, 3, 4, г.Нур-Султан, решение Правления от 10.06.2022г., </t>
    </r>
    <r>
      <rPr>
        <b/>
        <i/>
        <sz val="12"/>
        <color rgb="FFFF0000"/>
        <rFont val="Times New Roman"/>
        <family val="1"/>
        <charset val="204"/>
      </rPr>
      <t xml:space="preserve">ДПГ на стадии подписания </t>
    </r>
  </si>
  <si>
    <t>Пятно 1 - 16.10.2022г. 
Пятно 2, 3 - 16.09.2022г.</t>
  </si>
  <si>
    <t>Введен в эксплуатацию 06.06.2022</t>
  </si>
  <si>
    <t>МЖК в г.Усть-каменогорск</t>
  </si>
  <si>
    <t>МЖК Престиж Сити в г.Шымкент</t>
  </si>
  <si>
    <t>МЖК в г.Костанай</t>
  </si>
  <si>
    <t>1 763 181 636</t>
  </si>
  <si>
    <t xml:space="preserve">МЖК Sun City в Алматинской области </t>
  </si>
  <si>
    <r>
      <t xml:space="preserve">ВСЕГО ДЕЙСТВУЮЩИХ ГАРАНТИЙ ПО </t>
    </r>
    <r>
      <rPr>
        <b/>
        <u/>
        <sz val="15"/>
        <rFont val="Times New Roman"/>
        <family val="1"/>
        <charset val="204"/>
      </rPr>
      <t xml:space="preserve"> 17 ПРОЕКТАМ:</t>
    </r>
  </si>
  <si>
    <t>нет зключение госэкспертизы</t>
  </si>
  <si>
    <t>1 908 879 358</t>
  </si>
  <si>
    <r>
      <t>ЖК Шахар Сити, 2 очередь, г.Алматы решение Правления от 10.06.2022г.,</t>
    </r>
    <r>
      <rPr>
        <b/>
        <i/>
        <sz val="12"/>
        <color rgb="FFFF0000"/>
        <rFont val="Times New Roman"/>
        <family val="1"/>
        <charset val="204"/>
      </rPr>
      <t xml:space="preserve"> ДПГ на стадии подписания </t>
    </r>
  </si>
  <si>
    <r>
      <t xml:space="preserve">МЖК в Алматинской области, решение Правления от 21.06.2022г., </t>
    </r>
    <r>
      <rPr>
        <b/>
        <i/>
        <sz val="12"/>
        <color rgb="FFFF0000"/>
        <rFont val="Times New Roman"/>
        <family val="1"/>
        <charset val="204"/>
      </rPr>
      <t xml:space="preserve">ДПГ на стадии подписания </t>
    </r>
  </si>
  <si>
    <r>
      <t xml:space="preserve">МЖК Гранд Виктория, г. Нур-Султан, решение Правления от 10.06.2022г., </t>
    </r>
    <r>
      <rPr>
        <b/>
        <i/>
        <sz val="12"/>
        <color rgb="FFFF0000"/>
        <rFont val="Times New Roman"/>
        <family val="1"/>
        <charset val="204"/>
      </rPr>
      <t xml:space="preserve">ДПГ на стадии подписания </t>
    </r>
  </si>
  <si>
    <t xml:space="preserve">ДПО </t>
  </si>
  <si>
    <t>СКК</t>
  </si>
  <si>
    <t xml:space="preserve">ДТЭМ </t>
  </si>
  <si>
    <t>ДРМ</t>
  </si>
  <si>
    <t xml:space="preserve">Исполнитель от фронт-офиса </t>
  </si>
  <si>
    <t xml:space="preserve">Далматова Данира </t>
  </si>
  <si>
    <t xml:space="preserve">Дата регистрации заявки </t>
  </si>
  <si>
    <t xml:space="preserve">ДОРАБОТКА
Дата исходящего/Дата входящего </t>
  </si>
  <si>
    <t>МЖК Ак Дидар, пятна 14, 15, г. Нур-Султан, Решение Правления от 22.12.2020г.</t>
  </si>
  <si>
    <t>МЖК Амстердам, 2 очередь, пятна 11-14, г. Нур-Султан, Решение Правления от 22.12.2020г.</t>
  </si>
  <si>
    <t xml:space="preserve">МЖК Сезым Кала 8 очередь, г. Нур-Султан, Решение СД от 06.04.2020г. </t>
  </si>
  <si>
    <r>
      <t xml:space="preserve">МЖК Аккент, 90/1, г. Алматы, Решение Правления 28.06.2022г., </t>
    </r>
    <r>
      <rPr>
        <b/>
        <i/>
        <sz val="12"/>
        <color rgb="FFFF0000"/>
        <rFont val="Times New Roman"/>
        <family val="1"/>
        <charset val="204"/>
      </rPr>
      <t xml:space="preserve">ДПГ на стадии подписания </t>
    </r>
  </si>
  <si>
    <t xml:space="preserve">МЖК в г.Уральск </t>
  </si>
  <si>
    <t>МЖК в г.Нур-Султан</t>
  </si>
  <si>
    <t xml:space="preserve">ЖК "Алтын Шар", 2-очередь (пятна 1, 2, 3),  г. Нур-Султан, Решение СД </t>
  </si>
  <si>
    <t xml:space="preserve">Сведения об учредителях застройщика </t>
  </si>
  <si>
    <t>Жакупова Алина Маратовна - 95%
Саутова Дана Сансызбайевна - 5%</t>
  </si>
  <si>
    <t>Шалудкин Роман Евгеньевич - 99,9%
Дауленова Айнур Жусуповна - 0,1%</t>
  </si>
  <si>
    <t>ТОО «BI Development» в лице первого руководителя Омарова А.Г - 
ТОО «Гарант Сервис НС» в лице первого руководителя  Серикова Д.Б</t>
  </si>
  <si>
    <t>ТОО «QAZAQ STROY Almaty» в лице директора Фальков Николай Анатольевич - 99%
Артыкбаева Надежда Абдуллаевна - 1%</t>
  </si>
  <si>
    <t xml:space="preserve">ТОО «Финансовая Торгово – Промышленная корпорация «Оңтүстіқ» в лице директора Сейтжанова С. - 50%
Құртаев Асылжан Әлімжанұлы - 50%
</t>
  </si>
  <si>
    <t>ТОО «Инвестиционно – производственная компания», в лице генерального директора Комковой Н.В. - 99%
ТОО «Компания «Тамилан», в лице генерального директора Белович П.А.-1%</t>
  </si>
  <si>
    <t>Ким Олег Романович - 33,3%
Ким Игорь Романович - 33,4%
Ким Сергей Романович - 33,3%</t>
  </si>
  <si>
    <t>Акимбаев Берик Серикович - 50%
Киргизбаева Гульмира Турсыновна - 50%</t>
  </si>
  <si>
    <t>Сыдыкова Гульжан Кыдыргалиевна - 60,70%
Құртаев Мейржан Әлімжанұлы - 39,30%</t>
  </si>
  <si>
    <t>Найманов Ринат Абаевич - 99%
Найманов Ерлан Абаевич - 1%</t>
  </si>
  <si>
    <t>Фирма «Ахсель Холдинг Аноним Ширкети» - 90%
ТОО «GASK Investment Kazakhstan» - 10%</t>
  </si>
  <si>
    <t>Камшибаева Бакытгуль Оралбековна - 99%
Ни Руслан Владимирович - 1%</t>
  </si>
  <si>
    <t>ТОО «BI Development» в лице генерального директора Чернышова М.В.  
ТОО «Гарант Сервис НС» в лице директора Хасенова К.Ж.</t>
  </si>
  <si>
    <t>Тулегенова Роза Ермекбаевна - 60%
Удот Денис Владимирович - 40%</t>
  </si>
  <si>
    <t>Сарманов Бекзат Казиевич - 99%
Сарманова Нурсулу Калекановна - 1%</t>
  </si>
  <si>
    <t xml:space="preserve"> Туркан Ферхат - 99%
Турунов Тимур Исаевич - 1%</t>
  </si>
  <si>
    <t xml:space="preserve">Нурбаев Нурлан </t>
  </si>
  <si>
    <t>Шокубасова Алтынай Баялыевна - 90%
Тлегенов Бакытжан Жылкыбаевич - 10%</t>
  </si>
  <si>
    <t>ТОО «BI Development» в лице генерального директора Чернышова М.В. - 99%
ТОО «Гарант Сервис НС» в лице директора Хасенова К.Ж. - 1%</t>
  </si>
  <si>
    <t>Толегенов Жанат Толегенович - 70%
Амангельдиев Әділет Серіқұлы - 30%</t>
  </si>
  <si>
    <t>ТОО «QAZAQ STROY Almaty»  в лице директора Ли Дмитрия Денисовича - 99%
Артыкбаева Надежда Абдуллаевна - 1%</t>
  </si>
  <si>
    <t>Сауран Агила Болатқызы - 10%
Ыбырай Бағила Болатқызы - 30%
ТОО «Tan Invest Company»  в лице директора Жусупов Максат Женисбекович - 60%</t>
  </si>
  <si>
    <t>Адильбеков Адиль Серикович - 95%
Аяпова Гульмира Мартовна - 5%</t>
  </si>
  <si>
    <t>Исмагулов Алмат Булатович - 50%
Ракишев Ринат Манарбекович - 50%</t>
  </si>
  <si>
    <t>Романкулова Асем Базаралиевна - 99%
Жабаев Бауыржан Балтабаевич - 1%</t>
  </si>
  <si>
    <t xml:space="preserve">Кошкинова Мадина Дауленовна - 30%
Татибаев Асылжан Жанузакович - 70% </t>
  </si>
  <si>
    <t>Каракузова Кульшат Базылкановна - 50%
Тілекей Сәбит Еранұлы - 50%</t>
  </si>
  <si>
    <t>ТОО «BI Development» в лице генерального директора Чернышова М.В. - 99%
ТОО «Global Build» в лице директора Кудайбергенова М.Т. - 1%</t>
  </si>
  <si>
    <t>Ахметов Саламат Куатович - 50%
Ахметов Жомарт Куатович - 50%</t>
  </si>
  <si>
    <t>Алиева Зауреш Джамалиевна - 99%
Ниязов Бахтияр Махмутжанович - 1%</t>
  </si>
  <si>
    <t>Қызыров Қанат Мағзамұлы - 99,9%
Уксикбаева Маржангуль Туркпенбаевна - 0,1%</t>
  </si>
  <si>
    <t>Туркан Ферхат 99%
Турунов Тимур Исаевич - 1%</t>
  </si>
  <si>
    <t>Шукшев Сергей Юрьевич - 95%
Шукшев Никита Сергеевич - 5%</t>
  </si>
  <si>
    <t>Магай Лев Владимирович - 50%
Сейсенов Галымжан Колбаевич - 25%
Жапаров Кенжебай Зинельгабиденович - 25%</t>
  </si>
  <si>
    <t>Даир Ержан Жаңбырұлы - 50%
Лазарева Татьяна Октябрьевна - 50%</t>
  </si>
  <si>
    <t>Сайранов Азамат Талгатулы - 70%
Сайранов Асхат Талғатұлы - 30%</t>
  </si>
  <si>
    <t>Жұмабаев Есман Төлепбегренұлы - 99%
Ирдыкасенова Лаззат Конгратбаевна - 1%</t>
  </si>
  <si>
    <t>Киргизбаев Данияр Сапарович - 50%
Жиенбеков Сагнай Канатович - 49%
Ельшибаева Айгуль Какеновна - 1%</t>
  </si>
  <si>
    <t>Ашимова Светлана Григорьевна - 70%
Ашимов Асхат Болатович - 30%</t>
  </si>
  <si>
    <t>Наурызбаев Марат Амангельдинович - 55%
Жусупов Берик Аскарович - 45%</t>
  </si>
  <si>
    <t>Дуйсенбаев Аскар Сауытбаевич -  50%
Дуйсенбаева Сауле Бекманалыевна - 50%</t>
  </si>
  <si>
    <t>ТОО «BI Development» ген.директор Чернышов М.В. - 99%
ТОО «Гарант Сервис НС» директор Хасенов К.Ж. - 1%</t>
  </si>
  <si>
    <t>Салих Данат Төлегенұлы - 50%
Кокенов Кайрат Нурадинулы - 50%</t>
  </si>
  <si>
    <t>Балтабеков Жаркын Адамович -  90%
Балтабекова Фатима Мухамедхановна - 10%</t>
  </si>
  <si>
    <t>ТОО «JM CAPITAL»  руководитель Мырзагалиев Ж.О. - 95%
Кенжегалиева Светлана Алдаунгаровна - 5%</t>
  </si>
  <si>
    <t>Солтанбеков Улан Сарсенбаевич - 70%
Баймагамбетова Алмагуль Тулегеновна - 30%</t>
  </si>
  <si>
    <t>Қызыров Қанат Мағзумұлы - 99,9 % 
Уксикбаева Маржангуль Туркпенбаевна - 0,1%</t>
  </si>
  <si>
    <t xml:space="preserve">Утешов Матулла Кулхамабетович - 95%
Шегебаев Курмангазы Тажиханович - 5%
</t>
  </si>
  <si>
    <t>Батпенова Карлыгаш Оразбаевна - 50%
Батпенов Ильяс Жанатұлы - 50%</t>
  </si>
  <si>
    <t>Ли Дмитрий Денисович - 5%
Артыкбаева Надежда Абдуллаевна - 95%</t>
  </si>
  <si>
    <t>ЖК "Ак Дидар", (пятна 9-13),  г. Нур-Султан, Решение СД от 14.02.2020г.</t>
  </si>
  <si>
    <t xml:space="preserve">ТОО «Tan Invest Company» руководитель Нургожаев А.К. - 60%
ТОО «Sheber Partners» генеральный директор Сауранбаев Б.О. - 40% </t>
  </si>
  <si>
    <t>ТОО «Comfort Company» директор Таукебаев С.Ш. - 99% 
Таукебаева Айгерім Серикқызы - 1%</t>
  </si>
  <si>
    <t>Набиев Амиржан Амиржанович - 99%
Набиев Сарсен Садирович - 1%</t>
  </si>
  <si>
    <t>Талипов Шалкарбек Нурылдаевич - 90%
Басхожаева Молдир Калилаевна - 10%</t>
  </si>
  <si>
    <t>ДОЗ</t>
  </si>
  <si>
    <t>нет уведомление о начале СМР</t>
  </si>
  <si>
    <t>МЖК в г.Нур-Султан, район Есиль, пересечение пр.Кабанбай батыра и ул.Т.Рыскулова, аренда земельного участка</t>
  </si>
  <si>
    <t>8 128,0</t>
  </si>
  <si>
    <t xml:space="preserve">МЖК (дом 39) Лесная поляна 10 очередь </t>
  </si>
  <si>
    <t>МЖК  «ECO-PARK ALATAU» в Алматинская обл., Карасайский р-н., Райымбекский с/о (первая очередь)» Пятно 3, 4</t>
  </si>
  <si>
    <t>Исполнитель</t>
  </si>
  <si>
    <t>№ ДПГ</t>
  </si>
  <si>
    <t>Исмаков А.</t>
  </si>
  <si>
    <t xml:space="preserve">Сарсембаева Ж. </t>
  </si>
  <si>
    <t xml:space="preserve">Далматова Д. </t>
  </si>
  <si>
    <t>ДПГ-22-01-045/101</t>
  </si>
  <si>
    <t>Уринбасарова М.</t>
  </si>
  <si>
    <t>Нурбаев Н.</t>
  </si>
  <si>
    <t>ДПГ-22-03-049/109</t>
  </si>
  <si>
    <t>ДПГ-22-13-046/103</t>
  </si>
  <si>
    <t>ДПГ-22-02-020/102</t>
  </si>
  <si>
    <t>ДПГ-22-01-038/104</t>
  </si>
  <si>
    <t>Жаныбек А.</t>
  </si>
  <si>
    <t>ДПГ-22-010-047/105</t>
  </si>
  <si>
    <t>ДПГ-22-013-004/106</t>
  </si>
  <si>
    <t>Аяпова Г.</t>
  </si>
  <si>
    <t>ДПГ-22-10-048/107</t>
  </si>
  <si>
    <t>ДПГ-22-02-020/108</t>
  </si>
  <si>
    <t>ДПГ-22-13-050/110</t>
  </si>
  <si>
    <t>ДПГ-22-13-046/111</t>
  </si>
  <si>
    <t>ДПГ-22-05-051/112</t>
  </si>
  <si>
    <t xml:space="preserve">ДПГ 21-01-001/083
доп.согл. № 4 от 28.06.2022г. </t>
  </si>
  <si>
    <t>22 385 794</t>
  </si>
  <si>
    <t>ДПГ-21-01-023/051</t>
  </si>
  <si>
    <t>ДПГ-21-02-022/050</t>
  </si>
  <si>
    <t>Сарсембаева Ж.</t>
  </si>
  <si>
    <t>ДПГ-20-02-020/043
доп.согл. № 2 от 02.03.2021г.</t>
  </si>
  <si>
    <t>ДПГ-21-01-001/058</t>
  </si>
  <si>
    <t>35 604 422</t>
  </si>
  <si>
    <t>Нуржубалин Н.</t>
  </si>
  <si>
    <t>ДПГ-21-01-001/054</t>
  </si>
  <si>
    <t>ДПГ-21-01-025/056</t>
  </si>
  <si>
    <t>ДПГ-21-01-027/061</t>
  </si>
  <si>
    <t>ДПГ-21-02-001/062</t>
  </si>
  <si>
    <t>ДПГ-21-01-029/064</t>
  </si>
  <si>
    <t>ДПГ-21-01-02/067</t>
  </si>
  <si>
    <t>ДПГ-21-02-025/069</t>
  </si>
  <si>
    <t>ДПГ-21-13-004/068</t>
  </si>
  <si>
    <t>ДПГ-21-01-032/074</t>
  </si>
  <si>
    <t>ДПГ-21-02-025/073</t>
  </si>
  <si>
    <t>ДПГ-21-01-033/076</t>
  </si>
  <si>
    <t>ДПГ-21-12-030/065</t>
  </si>
  <si>
    <t>ДПГ-21-01-034/077</t>
  </si>
  <si>
    <t>ДПГ-21-01-010/080</t>
  </si>
  <si>
    <t xml:space="preserve">Нурбаев Н. </t>
  </si>
  <si>
    <t>ДПГ-21-01-035/079</t>
  </si>
  <si>
    <t>ДПГ-21-01-036/082</t>
  </si>
  <si>
    <t>ДПГ--21-01-008/084</t>
  </si>
  <si>
    <t>22 626 319</t>
  </si>
  <si>
    <t>ДПГ-21-01-001/083</t>
  </si>
  <si>
    <t>ДПГ-21-01-038/087</t>
  </si>
  <si>
    <t>ДПГ-21-01-008/089</t>
  </si>
  <si>
    <t>ДПГ-21-02-025/088</t>
  </si>
  <si>
    <t>ДПГ-21-01-001/090</t>
  </si>
  <si>
    <t>ДПГ-21-02-011/091</t>
  </si>
  <si>
    <t>ДПГ-21-01-040/092</t>
  </si>
  <si>
    <t>ДПГ-21-01-039/098</t>
  </si>
  <si>
    <t>ДПГ-21-06-042/095</t>
  </si>
  <si>
    <t>ДПГ-21-04-021/096</t>
  </si>
  <si>
    <t>ДПГ-21-01-001/097</t>
  </si>
  <si>
    <t>ДПГ-21-02-041/094</t>
  </si>
  <si>
    <t>ДПГ-21-01-043/099</t>
  </si>
  <si>
    <t>ДПГ-21-01-044/100</t>
  </si>
  <si>
    <t>ДПГ-21-02-011/071</t>
  </si>
  <si>
    <t xml:space="preserve">16 330 080 </t>
  </si>
  <si>
    <t>ДПГ-20-01-002/049</t>
  </si>
  <si>
    <t xml:space="preserve">Нуржубалин Н. </t>
  </si>
  <si>
    <t>ДПГ-21-02-020/075</t>
  </si>
  <si>
    <t>11 394,4</t>
  </si>
  <si>
    <t xml:space="preserve"> ДПГ-20-02-020\042 от 17.06.2020
доп.согл. № 2 от 15.07.2021 к</t>
  </si>
  <si>
    <t>ДПГ-21-02-020/060</t>
  </si>
  <si>
    <t xml:space="preserve">ДПГ-20-01-022/048 от 30.11.2020
доп.согл.№1 от 26.05.2021  </t>
  </si>
  <si>
    <t>ДПГ-21-13-004/078</t>
  </si>
  <si>
    <t>ДПГ-19-01-001/029</t>
  </si>
  <si>
    <t>ДПГ-22-01-053/115</t>
  </si>
  <si>
    <t>ДПГ-22-05-052/113</t>
  </si>
  <si>
    <t>Жакыпбеков Адильхан</t>
  </si>
  <si>
    <t>Жакыпбеков А.</t>
  </si>
  <si>
    <t>ДПГ-22-01-054/117</t>
  </si>
  <si>
    <t>Камалитден Бауыржан</t>
  </si>
  <si>
    <t>ДПГ-22-01-024/116</t>
  </si>
  <si>
    <t>ДПГ-22-13-046/118</t>
  </si>
  <si>
    <t>МЖК "Жана Арка" в г.Нур-Султан, Жилой массив Юго-Восток (правая сторона) улица Қордай, участок 89</t>
  </si>
  <si>
    <t>МЖК г.Шымкент</t>
  </si>
  <si>
    <r>
      <t>Себестоимость
тыс.тенге/1 м</t>
    </r>
    <r>
      <rPr>
        <b/>
        <i/>
        <vertAlign val="superscript"/>
        <sz val="12"/>
        <color indexed="9"/>
        <rFont val="Times New Roman"/>
        <family val="1"/>
        <charset val="204"/>
      </rPr>
      <t>2</t>
    </r>
  </si>
  <si>
    <r>
      <t>Цена реал. тыс.тенге/1 м</t>
    </r>
    <r>
      <rPr>
        <b/>
        <i/>
        <vertAlign val="superscript"/>
        <sz val="12"/>
        <color indexed="9"/>
        <rFont val="Times New Roman"/>
        <family val="1"/>
        <charset val="204"/>
      </rPr>
      <t>2</t>
    </r>
  </si>
  <si>
    <t xml:space="preserve"> ДПГ-20-06-021/044</t>
  </si>
  <si>
    <t>Камалитден Б.</t>
  </si>
  <si>
    <t>Башеева Ж.</t>
  </si>
  <si>
    <t>Кенесов М.</t>
  </si>
  <si>
    <t>ТОО "Bikom Realty"</t>
  </si>
  <si>
    <t>ТОО "ONER Construction"</t>
  </si>
  <si>
    <t>ТОО "Dostyq Invest Group"</t>
  </si>
  <si>
    <t>ТОО "Елимай-Invest"</t>
  </si>
  <si>
    <t>ТОО "РинЭлд"</t>
  </si>
  <si>
    <t>ТОО "Азия Глобал Астана"</t>
  </si>
  <si>
    <t>ТОО "ЖК "Теремки"</t>
  </si>
  <si>
    <t xml:space="preserve">ТОО "Nova City Development" </t>
  </si>
  <si>
    <t xml:space="preserve"> ТОО "Esil Town"</t>
  </si>
  <si>
    <t>ТОО "MERIDIAN stroy LTD"</t>
  </si>
  <si>
    <t>ТОО "Egregor of Finance Sh.R"</t>
  </si>
  <si>
    <t>ТОО "Оңтүстік құрылыс Сервис"</t>
  </si>
  <si>
    <t>ТОО "OKS-Shymcity"</t>
  </si>
  <si>
    <t xml:space="preserve">ТОО "BAZIS-A Corp." </t>
  </si>
  <si>
    <t>ТОО "БК-СТРОЙ"</t>
  </si>
  <si>
    <t>ТОО "БК-Инвест 109"</t>
  </si>
  <si>
    <t>ТОО "ЖК "Кристалл"</t>
  </si>
  <si>
    <t>ТОО "Kanfar Building"</t>
  </si>
  <si>
    <t>ТОО "Birlik Satu"</t>
  </si>
  <si>
    <t>ТОО "Атрикс строй"</t>
  </si>
  <si>
    <t>ТОО "Композит-7"</t>
  </si>
  <si>
    <t>ТОО "Элитстрой Алматы"</t>
  </si>
  <si>
    <t>ТОО "Уполномоченная компания "Достар"</t>
  </si>
  <si>
    <t>ТОО "Exclusive Construction (Эксклюзив Констракшн)"</t>
  </si>
  <si>
    <t>ТОО "Atamura Group"</t>
  </si>
  <si>
    <t>ТОО "Arlyn"</t>
  </si>
  <si>
    <t>ТОО "Аргон Строй"</t>
  </si>
  <si>
    <t>ТОО "Bestbuilding"</t>
  </si>
  <si>
    <t xml:space="preserve"> ТОО "ASAR HOUSE"</t>
  </si>
  <si>
    <t>ТОО "Актау Коркем Курылыс"</t>
  </si>
  <si>
    <t>ТОО "Жетісу ЖҚ"</t>
  </si>
  <si>
    <t>ТОО "Тұран Құрылыс НС"</t>
  </si>
  <si>
    <t>ТОО "AMETA GROUP"</t>
  </si>
  <si>
    <t>ТОО "SHEBERBUILD"</t>
  </si>
  <si>
    <t>ТОО "BAZIS-A Corp."</t>
  </si>
  <si>
    <t>ТОО "Dostyk Land"</t>
  </si>
  <si>
    <t>ТОО "Милан-Астана"</t>
  </si>
  <si>
    <t>ТОО "Цесинстрой"</t>
  </si>
  <si>
    <t>ТОО "Аллея Тысячелетия-4"</t>
  </si>
  <si>
    <t>ТОО "Garant Stroy"</t>
  </si>
  <si>
    <t>ТОО "Сартай Энерго сервис"</t>
  </si>
  <si>
    <t>ТОО "K7 Construction"</t>
  </si>
  <si>
    <t>ТОО "Prime Park"</t>
  </si>
  <si>
    <t>ТОО "Garant stroy"</t>
  </si>
  <si>
    <t>ТОО "АДМ Строй НС"</t>
  </si>
  <si>
    <t>ТОО "Объединение-Сайран"</t>
  </si>
  <si>
    <t>ТОО "Sayran Социал"</t>
  </si>
  <si>
    <t>ТОО "Биік Шаңырақ"</t>
  </si>
  <si>
    <t>ТОО "РДМ-Сервис"</t>
  </si>
  <si>
    <t xml:space="preserve">ТОО "ASTANA CAPITAL building project" </t>
  </si>
  <si>
    <t>ТОО "Камал Центр Астана"</t>
  </si>
  <si>
    <t>ТОО "Санбол"</t>
  </si>
  <si>
    <t xml:space="preserve">ТОО "Garant stroy" </t>
  </si>
  <si>
    <t>ТОО "VIP жилье"</t>
  </si>
  <si>
    <t xml:space="preserve">ТОО "Каспий Құрылыс ЛТД" </t>
  </si>
  <si>
    <t>ТОО "Атырау ЖБИ 2005"</t>
  </si>
  <si>
    <t>ТОО "MBS Capital"</t>
  </si>
  <si>
    <t>ТОО "Ак Дидар 3"</t>
  </si>
  <si>
    <t>ТОО "Сартай Энерго Сервис"</t>
  </si>
  <si>
    <t>ТОО "K7 Engineering"</t>
  </si>
  <si>
    <t>ТОО "BI Development Astana"</t>
  </si>
  <si>
    <t>ТОО "Green Line Terra"</t>
  </si>
  <si>
    <t>ТОО "СИНТЭКО"</t>
  </si>
  <si>
    <t>ТОО "ЭКОПОТОК"</t>
  </si>
  <si>
    <t>ТОО "Stroy opt"</t>
  </si>
  <si>
    <t>ТОО "Global-Invest company"</t>
  </si>
  <si>
    <t xml:space="preserve">Уполномоченная компания </t>
  </si>
  <si>
    <t>Застройщик</t>
  </si>
  <si>
    <t>ДПГ-22-02-011/119</t>
  </si>
  <si>
    <t>Дата решение Правления/СД</t>
  </si>
  <si>
    <t>Регион</t>
  </si>
  <si>
    <t xml:space="preserve">г. Алматы </t>
  </si>
  <si>
    <t>МЖК Лесная поляна, дом 40</t>
  </si>
  <si>
    <t>МЖК Alma City 5/2, Блоки 128-155</t>
  </si>
  <si>
    <t>ТОО "LP Project"</t>
  </si>
  <si>
    <t>ТОО "Alma City 5/2"</t>
  </si>
  <si>
    <t>ТОО "Марапат 2011"</t>
  </si>
  <si>
    <t xml:space="preserve">Алматинская обл. </t>
  </si>
  <si>
    <t>г. Усть-Каменогорск</t>
  </si>
  <si>
    <t xml:space="preserve">МЖК Онер, 3 очередь </t>
  </si>
  <si>
    <t xml:space="preserve">МЖК Престиж </t>
  </si>
  <si>
    <t xml:space="preserve">МЖК KULAN </t>
  </si>
  <si>
    <t>МЖК Теремки, 3-й пусковой комплекс</t>
  </si>
  <si>
    <t>МЖК Столичный-2</t>
  </si>
  <si>
    <t>МЖК Modern City</t>
  </si>
  <si>
    <t>МЖК Асыл Мура блок D</t>
  </si>
  <si>
    <t>МЖК SOHO 2 А</t>
  </si>
  <si>
    <t xml:space="preserve">МЖК в мкр. Береке </t>
  </si>
  <si>
    <t xml:space="preserve">МЖК Discovery 3-оч. (пятно 4) </t>
  </si>
  <si>
    <t xml:space="preserve">МЖК Кристалл </t>
  </si>
  <si>
    <t xml:space="preserve">МЖК Birlik </t>
  </si>
  <si>
    <t xml:space="preserve">МЖК Khanzada </t>
  </si>
  <si>
    <t>МЖК Auezov City, 3 очередь, пятна 5, 6, 7</t>
  </si>
  <si>
    <t xml:space="preserve">ЖК Шахар Сити, 2 очередь </t>
  </si>
  <si>
    <t>МЖК Арлан</t>
  </si>
  <si>
    <t xml:space="preserve">МЖК Asar house </t>
  </si>
  <si>
    <t>МЖК Атамура</t>
  </si>
  <si>
    <t>ТОО "Esil Town"</t>
  </si>
  <si>
    <t xml:space="preserve">ТОО "Royal Town-1" </t>
  </si>
  <si>
    <t>ТОО "Аstana real estate 2017"</t>
  </si>
  <si>
    <t>ТОО "Familia House"</t>
  </si>
  <si>
    <t>ТОО "DOSTYK LAND"</t>
  </si>
  <si>
    <t>ТОО "Exclusive Северное Кольцо"</t>
  </si>
  <si>
    <t>ТОО "Ақкент Құрылыс"</t>
  </si>
  <si>
    <t>ТОО "ОрдаСтройИнжиниринг"</t>
  </si>
  <si>
    <t>ТОО "Горде"</t>
  </si>
  <si>
    <t>ТОО "АЛТЫН СИТИ 3"</t>
  </si>
  <si>
    <t>ТОО "SPARKLE DIAMOND"</t>
  </si>
  <si>
    <t>ТОО "ИННОВАЦИЯ ПЛЮС"</t>
  </si>
  <si>
    <t>ТОО "Nova City Development"</t>
  </si>
  <si>
    <t>ТОО "Ayt Housing Complex" 
(Айт Хаузинг Комплекс)</t>
  </si>
  <si>
    <t xml:space="preserve"> ТОО "Trans Service Company AST"</t>
  </si>
  <si>
    <t>Наименование Проекта</t>
  </si>
  <si>
    <t>МЖК Даулпаз</t>
  </si>
  <si>
    <t xml:space="preserve">МЖК Парасат 3 очередь, пятна 7-13, </t>
  </si>
  <si>
    <t>МЖК ARMAN-TAU COMFORT, 2 очередь</t>
  </si>
  <si>
    <t>МЖК Asyl Mura, блок Б</t>
  </si>
  <si>
    <t>МЖК Millenium Park, пятно 3, блок 23</t>
  </si>
  <si>
    <t>МЖК Prime Park</t>
  </si>
  <si>
    <t>МЖК Laketown 2 очередь</t>
  </si>
  <si>
    <t>МЖК Asyl Mura, блок Е</t>
  </si>
  <si>
    <t>МЖК Сулукол</t>
  </si>
  <si>
    <t>ЖК Хоккайдо</t>
  </si>
  <si>
    <t>МЖК Бурабай</t>
  </si>
  <si>
    <t>МЖК SILVER</t>
  </si>
  <si>
    <t>Дата пролонгации 1</t>
  </si>
  <si>
    <t>Дата пролонгации 2</t>
  </si>
  <si>
    <t>Дата пролонгации 3</t>
  </si>
  <si>
    <t>МЖК Angleterre, 2-я очередь</t>
  </si>
  <si>
    <t>МЖК Batagai, 1, 2 очереди</t>
  </si>
  <si>
    <t>МЖК Адам Арманы</t>
  </si>
  <si>
    <t>МЖК EXCLUSIVE DUET</t>
  </si>
  <si>
    <t>МЖК Gulder 4 очередь, 2 пусковой</t>
  </si>
  <si>
    <t>МЖК Озен</t>
  </si>
  <si>
    <t>ТОО "Восточный квартал"</t>
  </si>
  <si>
    <t>ТОО "SHEBERGOOD"</t>
  </si>
  <si>
    <t>ТОО "ARMAN-TAU COMFORT"</t>
  </si>
  <si>
    <t xml:space="preserve">ТОО "Exclusive Северное Кольцо" </t>
  </si>
  <si>
    <t>ТОО "Astana Real Estate Company"</t>
  </si>
  <si>
    <t>ТОО "Almaty Development Company"</t>
  </si>
  <si>
    <t>ТОО "NC Homes"</t>
  </si>
  <si>
    <t>ТОО "Euro City-1"</t>
  </si>
  <si>
    <t>ТОО "Royal Town-1"</t>
  </si>
  <si>
    <t>ТОО "Garant Investment"</t>
  </si>
  <si>
    <t>ТОО "Айт Құрылыс Сауда"</t>
  </si>
  <si>
    <t>ТОО "Айзия KZ"</t>
  </si>
  <si>
    <t>ТОО "СК А-Строй монтаж"</t>
  </si>
  <si>
    <t>МЖК Аллея тысячелетия, блок 24</t>
  </si>
  <si>
    <t>МЖК Сити Плюс, 1-й пусковой комплекс, блоки 1-11</t>
  </si>
  <si>
    <t>МЖК Nova City на Рыскулбекова 2 очередь</t>
  </si>
  <si>
    <t>МЖК Сердце Столицы, 2 оч.</t>
  </si>
  <si>
    <t>МЖК SOHO, блок 3,4</t>
  </si>
  <si>
    <t>МЖК Шахристан</t>
  </si>
  <si>
    <t>МЖК Argento п 1,2</t>
  </si>
  <si>
    <t>МЖК в г. Атырау</t>
  </si>
  <si>
    <t>МЖК Алма Тау, пятна 7,8</t>
  </si>
  <si>
    <t>МЖК Esil Tower, 1 оч.</t>
  </si>
  <si>
    <t>МЖК HEAVEN</t>
  </si>
  <si>
    <t>МЖК Асыл Мура, блок F</t>
  </si>
  <si>
    <t>МЖК Gul Ana</t>
  </si>
  <si>
    <t>МЖК Әулиет</t>
  </si>
  <si>
    <t>МЖК Landmark</t>
  </si>
  <si>
    <t>МЖК АТМОСФЕРА</t>
  </si>
  <si>
    <t>МЖК Гулдер 3 очередь, 1 пусковой</t>
  </si>
  <si>
    <t>МЖК Теремки, 1-й пусковой комплекс, блоки 2-15</t>
  </si>
  <si>
    <t>МЖК Athletic</t>
  </si>
  <si>
    <t>МЖК Alma City 4-1, 1 этап</t>
  </si>
  <si>
    <t>МЖК Alma City 4-1, 2 этап, Блоки 1-8, 36-39, 43-46</t>
  </si>
  <si>
    <t>МЖК Стандарт, 2 очередь</t>
  </si>
  <si>
    <t>МЖК Терракота, 3 этап, блоки 3, 6, 9, 11 и 12</t>
  </si>
  <si>
    <t>МЖК Ақан Сері</t>
  </si>
  <si>
    <t>МЖК Балауса</t>
  </si>
  <si>
    <t>МЖК NEXPO CITY</t>
  </si>
  <si>
    <t>МЖК Нова Сити Южный Треугольник</t>
  </si>
  <si>
    <t>МЖК Angleterre, 1-я очередь</t>
  </si>
  <si>
    <t>МЖК Онер</t>
  </si>
  <si>
    <t>МЖК Auezov City, пятна 1, 2</t>
  </si>
  <si>
    <t>МЖК Аман, пятна 1, 2, 3</t>
  </si>
  <si>
    <t>ТОО "Comfort Туран"</t>
  </si>
  <si>
    <t>ТОО "Аллея тысячелетия-4"</t>
  </si>
  <si>
    <t>ТОО "Commercial Estate Company"</t>
  </si>
  <si>
    <t>ТОО "Salamat stroy"</t>
  </si>
  <si>
    <t>ТОО "Turan Towers"</t>
  </si>
  <si>
    <t>ТОО "Sovico group"</t>
  </si>
  <si>
    <t>ТОО "УК Шахристан"</t>
  </si>
  <si>
    <t>ТОО "Строй Билдинг Астана"</t>
  </si>
  <si>
    <t>ТОО "Yerkin Management Group"</t>
  </si>
  <si>
    <t>ТОО "Riverside Tower"</t>
  </si>
  <si>
    <t>ТОО "КапСтрой Девелопмент"</t>
  </si>
  <si>
    <t>ТОО "УКиСС"</t>
  </si>
  <si>
    <t>ТОО "Gul-Ana"</t>
  </si>
  <si>
    <t>ТОО "AULET CONSTRUCTION"</t>
  </si>
  <si>
    <t>ТОО "Сармат Групп"</t>
  </si>
  <si>
    <t>ТОО "Ңұр City Invest"</t>
  </si>
  <si>
    <t>ТОО "ЖК Standard"</t>
  </si>
  <si>
    <t>ТОО "TEES"</t>
  </si>
  <si>
    <t>ТОО "MAB Qurylys KZ"</t>
  </si>
  <si>
    <t>ТОО "Sigma Byild"</t>
  </si>
  <si>
    <t>ТОО "NEXPO City"</t>
  </si>
  <si>
    <t>ТОО "NC-MS"</t>
  </si>
  <si>
    <t>ТОО "Алматаустрой"</t>
  </si>
  <si>
    <t>ТОО "Орынбор 2017"</t>
  </si>
  <si>
    <t xml:space="preserve">ТОО "СИНТЭКО" </t>
  </si>
  <si>
    <t>ТОО "Sensata Construction"</t>
  </si>
  <si>
    <t>ТОО "MabexTrade Ltd"</t>
  </si>
  <si>
    <t>ТОО "Tau House Development"</t>
  </si>
  <si>
    <t>ТОО "Ңұр Астана Құрылыс"</t>
  </si>
  <si>
    <t>ТОО "KazSMU"</t>
  </si>
  <si>
    <t>ТОО "Ethna Group"</t>
  </si>
  <si>
    <t>ТОО "Строительная Компания Элитстрой"</t>
  </si>
  <si>
    <t>ТОО "Direct Construction Service"</t>
  </si>
  <si>
    <t>МЖК K7 Family</t>
  </si>
  <si>
    <t>МЖК Гулдер 3 очередь</t>
  </si>
  <si>
    <t>МЖК Ак Дидар, пятна 14, 15</t>
  </si>
  <si>
    <t>МЖК Амстердам, 2 очередь, пятна 11-14</t>
  </si>
  <si>
    <t>МЖК Sezim Qala 6 оч."</t>
  </si>
  <si>
    <t>МЖК Терракота, 2 этап, Блоки 4 и 7</t>
  </si>
  <si>
    <t>МЖК Терракота, 1 этап, Блоки 2, 2/1, 5, 8 и 10</t>
  </si>
  <si>
    <t>МЖК Олимпийский, 1 очередь</t>
  </si>
  <si>
    <t>МЖК Асыл Мура, Блок А</t>
  </si>
  <si>
    <t>МЖК Nova City на Туране, 2 очередь</t>
  </si>
  <si>
    <t>МЖК Alma City, 3-оч. 3-й пуск.комплекс</t>
  </si>
  <si>
    <t>МЖК SOHO. Блок-секции 4,5,6</t>
  </si>
  <si>
    <t>МЖК Амстердам, пятна 8-10</t>
  </si>
  <si>
    <t>МЖК Теремки, Блоки 16-27</t>
  </si>
  <si>
    <t>МЖК Парасат 2 очередь</t>
  </si>
  <si>
    <t xml:space="preserve">МЖК Land Mark </t>
  </si>
  <si>
    <t>ЖК Стандарт</t>
  </si>
  <si>
    <t>МЖК 12 месяцев (на Макатаева)</t>
  </si>
  <si>
    <t>МЖК Alma City, 3-оч. 2-й пуск.комплекс</t>
  </si>
  <si>
    <t>ЖК ASQAT, очередь 3</t>
  </si>
  <si>
    <t xml:space="preserve">ЖК ASQAT, очередь 2 </t>
  </si>
  <si>
    <t>ЖК Легенда, 4 очередь (пятна 11, 12)</t>
  </si>
  <si>
    <t>МЖК Nova City, 19 очередь</t>
  </si>
  <si>
    <t>МЖК Alma City, 3-оч. 1-й пуск.комплекс</t>
  </si>
  <si>
    <t>МЖК Амстердам, пятна 4,5,6,7,15.1</t>
  </si>
  <si>
    <t>МЖК Парасат, пятно 1,2</t>
  </si>
  <si>
    <t xml:space="preserve">ЖК Премьера </t>
  </si>
  <si>
    <t>МЖК Nova City, 22 очередь</t>
  </si>
  <si>
    <t xml:space="preserve">ЖК ASQAT </t>
  </si>
  <si>
    <t>МЖК Argento, пятно 3</t>
  </si>
  <si>
    <t>МЖК 12 месяцев (на Макатаева), 1-очередь</t>
  </si>
  <si>
    <t>ЖК Амстердам, пятна 1,2,3</t>
  </si>
  <si>
    <t>ЖК Бахыт, 2 очередь</t>
  </si>
  <si>
    <t>ЖК Ак Дидар, пятна 9-13</t>
  </si>
  <si>
    <t>МЖК Бестерек, пятно 1</t>
  </si>
  <si>
    <t>ЖК Гулдер, 2-очередь, пятна 9,10,11,12,13,14</t>
  </si>
  <si>
    <t>ЖК Сердце Столицы, 1 очередь</t>
  </si>
  <si>
    <t>ЖК Абылайхан-2, пятна 4, 5, 6, 7</t>
  </si>
  <si>
    <t>ЖК Discovery, Пятно 3. Блоки 1, 2, 5</t>
  </si>
  <si>
    <t>ТОО "ASTI GROUP"</t>
  </si>
  <si>
    <t>ТОО "ЫРЫСТЫ 46/2"</t>
  </si>
  <si>
    <t>ТОО "Макатаева 127"</t>
  </si>
  <si>
    <t>ТОО "Ак Дидар-2"</t>
  </si>
  <si>
    <t>ТОО "СК БАЗАР"</t>
  </si>
  <si>
    <t>ТОО "Salamat Stroy"</t>
  </si>
  <si>
    <t xml:space="preserve">ТОО "Amsterdam City" </t>
  </si>
  <si>
    <t>ТОО "Туран Сити"</t>
  </si>
  <si>
    <t>ТОО "Amsterdam city"</t>
  </si>
  <si>
    <t>ТОО "NC16"</t>
  </si>
  <si>
    <t>ТОО "NC 22"</t>
  </si>
  <si>
    <t>ТОО "Amsterdam City"</t>
  </si>
  <si>
    <t>ТОО "Aspan City 2"</t>
  </si>
  <si>
    <t>ТОО "BI-Village Deluxe"</t>
  </si>
  <si>
    <t>ТОО "Сармат Групп-2"</t>
  </si>
  <si>
    <t>ТОО "СУ АСИ"</t>
  </si>
  <si>
    <t>ТОО "АсТи-Строй"</t>
  </si>
  <si>
    <t>ТОО "Qazaq Stroy"</t>
  </si>
  <si>
    <t>ТОО "Корпорация Астана-Стройинвест"</t>
  </si>
  <si>
    <t>ЖК Aspan City</t>
  </si>
  <si>
    <t xml:space="preserve">ЖК Argento пятно 4, Наружные сети </t>
  </si>
  <si>
    <t>ТОО "Компания Индустрия Строительства"</t>
  </si>
  <si>
    <t>ТОО "Орда строй групп"</t>
  </si>
  <si>
    <t>ЖК Алтын Ұя</t>
  </si>
  <si>
    <t>МЖК Легенда, 2 очередь, ПАРКИНГ</t>
  </si>
  <si>
    <t>МЖК Alma City, 1 очередь</t>
  </si>
  <si>
    <t>ЖК на Гагарина 1</t>
  </si>
  <si>
    <t>МЖК Alma City, 2 очередь</t>
  </si>
  <si>
    <t xml:space="preserve">МЖК Легенда, 3 очередь, пятна 7, 8,  </t>
  </si>
  <si>
    <t xml:space="preserve">ЖК SUNRISE                                 </t>
  </si>
  <si>
    <t>ЖК Alma City-2</t>
  </si>
  <si>
    <t>ЖК Биік Шаңырақ</t>
  </si>
  <si>
    <t>ЖК Бахыт, 1 очередь</t>
  </si>
  <si>
    <t>МЖК Легенда, 5 очередь, пятна 9, 10</t>
  </si>
  <si>
    <t xml:space="preserve">ЖК Триумфальная арка-2                                          </t>
  </si>
  <si>
    <t>МЖК Багыстан, 1-я очередь, 2-очередь, 1, 3 позиции</t>
  </si>
  <si>
    <t>МЖК Багыстан, 3-я очередь, 7 позиция</t>
  </si>
  <si>
    <t>МЖК Багыстан, 4-я очередь, 11 позиция</t>
  </si>
  <si>
    <t xml:space="preserve">ТОО "AKAN Engineering" </t>
  </si>
  <si>
    <t>ТОО Stroy Baiterek</t>
  </si>
  <si>
    <t>ТОО "Тенгри Хаус Астана"</t>
  </si>
  <si>
    <t>ТОО "Нұр City Investment"</t>
  </si>
  <si>
    <t>ТОО "Бағыстан"</t>
  </si>
  <si>
    <t>ТОО "Шар Курылыс"</t>
  </si>
  <si>
    <t>ТОО "НАЕК"</t>
  </si>
  <si>
    <t>ТОО "Караванный путь"</t>
  </si>
  <si>
    <t>ЖК "Миллениум парк", пятно 2, 14 блок</t>
  </si>
  <si>
    <t>ЖК "Легенда", 1 очередь (пятна 1-6)</t>
  </si>
  <si>
    <t>ТОО "Аллея тысячелетия-2"</t>
  </si>
  <si>
    <t>ТОО "KAT-Construction"</t>
  </si>
  <si>
    <t xml:space="preserve">
20.10.2021</t>
  </si>
  <si>
    <t>1 позиция - 10.08.2021г.;                                        3 позиция - 20.10.2021г.</t>
  </si>
  <si>
    <t xml:space="preserve"> 03.08.2021</t>
  </si>
  <si>
    <t xml:space="preserve"> 31.12.2020</t>
  </si>
  <si>
    <t>МЖК Адмирал</t>
  </si>
  <si>
    <t xml:space="preserve">МЖК Игилик </t>
  </si>
  <si>
    <t xml:space="preserve">МЖК Авалон </t>
  </si>
  <si>
    <t>ТОО"Tauman Qurylys"</t>
  </si>
  <si>
    <t>ТОО "Строй Инвест KZT"</t>
  </si>
  <si>
    <t>ТОО "Igilik Park"</t>
  </si>
  <si>
    <t>ТОО "Берен estate development"</t>
  </si>
  <si>
    <t>ТОО "ЖистройИндустрия"</t>
  </si>
  <si>
    <t>ТОО "Премьер-Строй"</t>
  </si>
  <si>
    <t>ТОО "Берен"</t>
  </si>
  <si>
    <t>ТОО "Capital Park"</t>
  </si>
  <si>
    <r>
      <t xml:space="preserve">ЖК "Айнабулак"
 </t>
    </r>
    <r>
      <rPr>
        <b/>
        <i/>
        <sz val="12"/>
        <color rgb="FFFF0000"/>
        <rFont val="Times New Roman"/>
        <family val="1"/>
        <charset val="204"/>
      </rPr>
      <t>Отказано в подписании ДПГ ввиду завершения строительства ЖК</t>
    </r>
  </si>
  <si>
    <r>
      <t xml:space="preserve">ЖК Capital Park
 </t>
    </r>
    <r>
      <rPr>
        <b/>
        <i/>
        <sz val="12"/>
        <color rgb="FFFF0000"/>
        <rFont val="Times New Roman"/>
        <family val="1"/>
        <charset val="204"/>
      </rPr>
      <t>Договор не заключен, отзыв заявки</t>
    </r>
  </si>
  <si>
    <r>
      <t xml:space="preserve">МЖК Capital Park 3E
</t>
    </r>
    <r>
      <rPr>
        <b/>
        <i/>
        <sz val="12"/>
        <color rgb="FFFF0000"/>
        <rFont val="Times New Roman"/>
        <family val="1"/>
        <charset val="204"/>
      </rPr>
      <t>Договор не заключен, отзыв заявки</t>
    </r>
  </si>
  <si>
    <r>
      <t xml:space="preserve">МЖК Бестерек 3 очередь
</t>
    </r>
    <r>
      <rPr>
        <b/>
        <i/>
        <sz val="12"/>
        <color rgb="FFFF0000"/>
        <rFont val="Times New Roman"/>
        <family val="1"/>
        <charset val="204"/>
      </rPr>
      <t>Договор не заключен, отзыв заявки</t>
    </r>
  </si>
  <si>
    <t>ТОО "Aigerim Development"</t>
  </si>
  <si>
    <t>ТОО "ИсМи"</t>
  </si>
  <si>
    <t>ТОО "Premier Palace"</t>
  </si>
  <si>
    <t xml:space="preserve">ТОО "ЖВК" </t>
  </si>
  <si>
    <t>ТОО Милан-Астана"</t>
  </si>
  <si>
    <t>ДПГ-17-02-001/002</t>
  </si>
  <si>
    <t>ДПГ-17-01-001-02/001</t>
  </si>
  <si>
    <t>доп.согл.№3 к 
ДПГ-18-01-007/008</t>
  </si>
  <si>
    <t>доп.согл.№1 к 
ДПГ-18-01-007/008</t>
  </si>
  <si>
    <t>ДПГ-18-01-007/008</t>
  </si>
  <si>
    <t>ДПГ-18-01-009/010</t>
  </si>
  <si>
    <t>доп.согл. №3 к 
ДПГ-17-02-001/002</t>
  </si>
  <si>
    <t>ДПГ-18-13-004/005</t>
  </si>
  <si>
    <t>ДПГ-18-01-003/004</t>
  </si>
  <si>
    <t>ДПГ-18-02-005/012</t>
  </si>
  <si>
    <t>ДПГ-18-01-008/011</t>
  </si>
  <si>
    <t>доп.согл. №1 к 
ДПГ-18-01-008/009</t>
  </si>
  <si>
    <t>доп.согл. №2 к
ДПГ-17-02-001/002</t>
  </si>
  <si>
    <t>доп.согл. 1 к
ДПГ-18-02-005/006</t>
  </si>
  <si>
    <t>ДПГ-18-07-006/007</t>
  </si>
  <si>
    <t>ДПГ-18-02-005/006</t>
  </si>
  <si>
    <t>доп.согл. №1 к
ДПГ-17-02-001/002</t>
  </si>
  <si>
    <t>ДПГ-17-01-002/003</t>
  </si>
  <si>
    <t>ДПГ-19-01-012/026</t>
  </si>
  <si>
    <t>ДПГ-19-01-008/027</t>
  </si>
  <si>
    <t>ДПГ-19-01-008/028</t>
  </si>
  <si>
    <t>доп.согл.№2 к 
ДПГ-19-01-008/015</t>
  </si>
  <si>
    <t>ДПГ-19-01-008/023</t>
  </si>
  <si>
    <t>ДПГ-19-02-011/019</t>
  </si>
  <si>
    <t>ДПГ-19-01-001/022</t>
  </si>
  <si>
    <t>доп.согл. №3 к
ДПГ-18-13-004/005</t>
  </si>
  <si>
    <t>доп.согл.№ 1 к
ДПГ-19-01-001/013</t>
  </si>
  <si>
    <t>ДПГ-19-01-001/017</t>
  </si>
  <si>
    <t>ДПГ-19-02-005/025</t>
  </si>
  <si>
    <t>ДПГ-19-01-010/018</t>
  </si>
  <si>
    <t>ДПГ-19-01-008/021</t>
  </si>
  <si>
    <t>ДПГ-19-13-004/020</t>
  </si>
  <si>
    <t>ДПГ-19-02-013/030</t>
  </si>
  <si>
    <t>ЖК Nova City 16 очередь</t>
  </si>
  <si>
    <t>ДПГ-19-01-008/016</t>
  </si>
  <si>
    <t>ДПГ-19-01-001/013</t>
  </si>
  <si>
    <t>ДПГ-19-02-005/024</t>
  </si>
  <si>
    <t>ДПГ-19-01-001/014</t>
  </si>
  <si>
    <t>доп.согл.№7 к
ДПГ-17-02-001/002</t>
  </si>
  <si>
    <t>доп.согл.№1 к 
ДПГ-19-01-008/015</t>
  </si>
  <si>
    <t xml:space="preserve">ДПГ-20-01-022/048 </t>
  </si>
  <si>
    <t xml:space="preserve">  доп.согл. №3к
ДПГ-19-01-001/022 </t>
  </si>
  <si>
    <t>доп.согл.№4 к 
ДПГ-19-01-001/013</t>
  </si>
  <si>
    <t>доп.согл.№4 к 
ДПГ-19-01-008/015</t>
  </si>
  <si>
    <t>доп.согл.№1 к 
ДПГ-20-02-020/043</t>
  </si>
  <si>
    <t>ДПГ-20-02-020/043</t>
  </si>
  <si>
    <t>ДПГ-20-01-015/036</t>
  </si>
  <si>
    <t>ДПГ-20-01-008/031</t>
  </si>
  <si>
    <t>доп.согл.№2 к 
ДПГ-20-02-008/034</t>
  </si>
  <si>
    <t>доп.согл.№3 к 
ДПГ-19-02-005/024</t>
  </si>
  <si>
    <t>МЖК Sezim Qala  8 очередь</t>
  </si>
  <si>
    <t>МЖК Sezim Qala, 1 очередь</t>
  </si>
  <si>
    <t>МЖК Sezim Qala, 4 очередь</t>
  </si>
  <si>
    <t>ЖК Sezim Qala, 7 очередь</t>
  </si>
  <si>
    <t>ЖК Nova City</t>
  </si>
  <si>
    <t>доп.согл.№3 к 
ДПГ-19-01-001/013</t>
  </si>
  <si>
    <t xml:space="preserve">МЖК Nova City на Рыскулбекова </t>
  </si>
  <si>
    <t>ДПГ-20-01-008/033</t>
  </si>
  <si>
    <t>доп.согл.№1 к 
ДПГ-19-01-008/027</t>
  </si>
  <si>
    <t>ДПГ-20-02-020/042</t>
  </si>
  <si>
    <t>МЖК Nova City на Туране</t>
  </si>
  <si>
    <t>МЖК SOHO</t>
  </si>
  <si>
    <t>ДПГ-20-01-008/034</t>
  </si>
  <si>
    <t>доп.согл. №1 к 
ДПГ-20-01-008/034</t>
  </si>
  <si>
    <t>ДПГ-20-01-001/32</t>
  </si>
  <si>
    <t>доп.согл. №1 к 
ДПГ-19-02-013/030</t>
  </si>
  <si>
    <t>доп.согл. №1 к 
ДПГ-20-01-001/037</t>
  </si>
  <si>
    <t>ДПГ-20-13-004/045</t>
  </si>
  <si>
    <t>доп.согл. №1 к 
ДПГ-19-01-001/022</t>
  </si>
  <si>
    <t>ЖК Нурсая</t>
  </si>
  <si>
    <t>доп.согл. №2 к
ДПГ-19-02-005/025</t>
  </si>
  <si>
    <t>доп.согл. №1 к
ДПГ-19-01-010/018</t>
  </si>
  <si>
    <t>ДПГ-21-01-001/053</t>
  </si>
  <si>
    <t>ТОО "JK Sun City"</t>
  </si>
  <si>
    <t>ДПГ-22-16-055/120</t>
  </si>
  <si>
    <t>ДПГ-20-02-014/047</t>
  </si>
  <si>
    <t xml:space="preserve">Завершенные проекты </t>
  </si>
  <si>
    <t>Действующие проекты</t>
  </si>
  <si>
    <t>доп.согл. № 2 к 
ДПГ-20-02-014/047 от 17.09.20</t>
  </si>
  <si>
    <t>31.11.2022</t>
  </si>
  <si>
    <t>Стоимость увеличение/уменьшение обзятельств</t>
  </si>
  <si>
    <t>доп.согл. № 4 к 
ДПГ-19-02-013/030 27.11.2019г.</t>
  </si>
  <si>
    <t>МЖК Discovery 2  оч.  пятно 3/2</t>
  </si>
  <si>
    <t>доп.согл. № 2 к 
ДПГ-19-01-001/029 03.12.2019</t>
  </si>
  <si>
    <t>МЖК Landmark 2 очередь, пятна 3,4,5</t>
  </si>
  <si>
    <t>доп.согл. № 4 к 
ДПГ-20-01-001/037  28.02.2020</t>
  </si>
  <si>
    <t>доп.согл. № 3 к 
ДПГ-20-01-008/031 05.02.2020</t>
  </si>
  <si>
    <t xml:space="preserve">МЖК Гулдер 4 очередь, 1 пусковой </t>
  </si>
  <si>
    <t>МЖК K7 Family, 2-3 очередь</t>
  </si>
  <si>
    <t>доп.согл. №4 к
ДПГ-20-01-008/031  05.02.2020</t>
  </si>
  <si>
    <t>МЖК Самал</t>
  </si>
  <si>
    <t>МЖК Auezov City, 2 очередь, пятна 3,4</t>
  </si>
  <si>
    <t>доп.согл. № 1 к
ДПГ-21-02-001/062  от 17.05.2021</t>
  </si>
  <si>
    <t>МЖК Sezim, Qala, 12 очередь</t>
  </si>
  <si>
    <t>МЖК Монако, пятна 1,2</t>
  </si>
  <si>
    <t>доп.согл. № 1 к
ДПГ-21-01-001/054 30.03.2021</t>
  </si>
  <si>
    <t>МЖК Австрийский квартал, 2 очередь, блоки 4 и 11</t>
  </si>
  <si>
    <t>доп.согл. № 2 к 
ДПГ-21-01-001/058 09.04.2021</t>
  </si>
  <si>
    <t>МЖК Ак Дидар 3, пятна 16-18</t>
  </si>
  <si>
    <t>МЖК Монако, пятно 4,блок 7-1</t>
  </si>
  <si>
    <t>доп.согл. № 3 к 
ДПГ-21-01-001/054 30.03.2021</t>
  </si>
  <si>
    <t xml:space="preserve">доп.согл. № 6 к 
ДПГ-20-01-008/031 05.02.2020 </t>
  </si>
  <si>
    <t>доп.согл. №3 к 
ДПГ-20-02-020/042 17.06.2020</t>
  </si>
  <si>
    <t>доп.согл. №1 к 
ДПГ-21-01-001/090  26.10.2021</t>
  </si>
  <si>
    <t>МЖК Достар, пятно 13</t>
  </si>
  <si>
    <t>доп.согл. № 5 к
ДПГ-21-02-001/062  17.05.2021</t>
  </si>
  <si>
    <t>МЖК  Altyn City 3</t>
  </si>
  <si>
    <t>доп.согл.№ 7 к 
ДПГ-20-01-001/037 28.02.2020</t>
  </si>
  <si>
    <t>ДПГ-22-02-041/114</t>
  </si>
  <si>
    <t>доп.согл. № 2 к 
ДПГ-21-01-008/084 14.09.2021</t>
  </si>
  <si>
    <t>доп.согл. № 1 к
ДПГ-21-01-008/089 14.09.2021</t>
  </si>
  <si>
    <t>стоимость по Проекту</t>
  </si>
  <si>
    <t>Аяпова Гульнур</t>
  </si>
  <si>
    <t>г. Караганды</t>
  </si>
  <si>
    <t>МЖК в г. Актобе</t>
  </si>
  <si>
    <t>ЖК в г. Караганды</t>
  </si>
  <si>
    <t>ТОО "Eurasia Building3"</t>
  </si>
  <si>
    <t>ТОО "Eurasia Building"</t>
  </si>
  <si>
    <t>ТОО "ЕРЕН-групп"</t>
  </si>
  <si>
    <t>ТОО "Алтын Шар WEST"</t>
  </si>
  <si>
    <t>ТОО "Uly Shanyrak"</t>
  </si>
  <si>
    <t>ТОО "01KZ-building"</t>
  </si>
  <si>
    <t>ТОО "Almaty Ozeni"</t>
  </si>
  <si>
    <t>ТОО "Береке Строй Групп"</t>
  </si>
  <si>
    <t>ТОО "ER-DAM INVESTMENT GROUP"</t>
  </si>
  <si>
    <t>ТОО "ТОО "DAMDES ҚҰРЫЛЫС INVEST"</t>
  </si>
  <si>
    <t>ТОО "ТОО "VK Diamond"</t>
  </si>
  <si>
    <t xml:space="preserve"> ТОО "ТОО "Service СМУ"</t>
  </si>
  <si>
    <t>ТОО "Sparkle Diamond"</t>
  </si>
  <si>
    <t>ТОО "ВВД-Құрылыс"</t>
  </si>
  <si>
    <t>ТОО "JYLTYR KURYLYS"</t>
  </si>
  <si>
    <t>ТОО "Каз-Хол"</t>
  </si>
  <si>
    <t>ТОО "JK SUN CITY"</t>
  </si>
  <si>
    <t xml:space="preserve"> ТОО "KAZSMU"</t>
  </si>
  <si>
    <t>/ТОО "КУТТЫ МЕКЕН 2022"</t>
  </si>
  <si>
    <t>ТОО "КОМПАНИЯ СЕВ-РЕГИОН СТРОЙ</t>
  </si>
  <si>
    <t>ТОО "СК ТАСТЕМИР"</t>
  </si>
  <si>
    <t>ТОО "МТС КОМПАНИ ЛТД"</t>
  </si>
  <si>
    <t>ТОО "ATM GROUP KAZAKHSTAN"</t>
  </si>
  <si>
    <t>ТОО " 
ALEM GROUP KAZAKHSTAN"</t>
  </si>
  <si>
    <t>ТОО "Уполномоченная компания "ЭКО-2022"</t>
  </si>
  <si>
    <t>ТОО "Строительная компания Элитстрой"</t>
  </si>
  <si>
    <t>2020 год</t>
  </si>
  <si>
    <t>2021 год</t>
  </si>
  <si>
    <t>2022 год</t>
  </si>
  <si>
    <t xml:space="preserve">доп.согл. № 1 к
ДПГ-20-06-021/044 </t>
  </si>
  <si>
    <t>В разрезе по годам</t>
  </si>
  <si>
    <t>2017 год</t>
  </si>
  <si>
    <t>2018 год</t>
  </si>
  <si>
    <t>2019 год</t>
  </si>
  <si>
    <t xml:space="preserve"> МЖК Sun City, Блок 1</t>
  </si>
  <si>
    <t>Уринбасарова Молдир</t>
  </si>
  <si>
    <t xml:space="preserve"> МЖК Sun City, Блок 3</t>
  </si>
  <si>
    <t>МЖК Sezim Qala очередь 10</t>
  </si>
  <si>
    <t>17.08.2022
01.09.2022</t>
  </si>
  <si>
    <t>19.08.2022
Полож.-на доработку
01.09.2022
Полож.</t>
  </si>
  <si>
    <t>20.08.2022
Отриц.
02.09.2022
Полож.</t>
  </si>
  <si>
    <t>19.08.2022
Полож.
05.09.2022
Отриц.</t>
  </si>
  <si>
    <t>20.08.2022
Полож.
01.09.2022
Соот.</t>
  </si>
  <si>
    <t>19.08.2022
Отриц.
06.09.2022
Отриц.</t>
  </si>
  <si>
    <t xml:space="preserve">19.08.2022
Полож.
02.09.2022
Полож.
</t>
  </si>
  <si>
    <t xml:space="preserve">г.  Усть-Каменогорск </t>
  </si>
  <si>
    <t>ДПГ-22-05-031/122</t>
  </si>
  <si>
    <t>ТОО "LP Construction"</t>
  </si>
  <si>
    <t>МЖК Monaco пятно 5</t>
  </si>
  <si>
    <t xml:space="preserve"> ТОО "Service СМУ"</t>
  </si>
  <si>
    <t>ТОО "VK Diamond"</t>
  </si>
  <si>
    <t>ДПГ-21-06-018/072</t>
  </si>
  <si>
    <r>
      <t>ДПГ-20-06-018/</t>
    </r>
    <r>
      <rPr>
        <sz val="12"/>
        <rFont val="Times New Roman"/>
        <family val="1"/>
        <charset val="204"/>
      </rPr>
      <t>040</t>
    </r>
  </si>
  <si>
    <t>ДПГ-22-10-056/121</t>
  </si>
  <si>
    <t>МЖК Бағыстан позиция №12</t>
  </si>
  <si>
    <t>МЖК Монако пятно 3</t>
  </si>
  <si>
    <t>ТОО "DAMDES ҚҰРЫЛЫС INVEST"</t>
  </si>
  <si>
    <t>г. Астана</t>
  </si>
  <si>
    <t>21.10.2022
Полож.</t>
  </si>
  <si>
    <t>21.10.2022
Отказ.</t>
  </si>
  <si>
    <t>20.10.2022
Соотв.</t>
  </si>
  <si>
    <t>МЖК Ак-Дидар 3, пятна 92,93,94</t>
  </si>
  <si>
    <t>22.10.2022
Не выявлено</t>
  </si>
  <si>
    <t>МЖК View Park Family</t>
  </si>
  <si>
    <t>МЖК SOHO, Квартал 1В, 2 очередь, Блоки 5,6,7</t>
  </si>
  <si>
    <t>МЖК Kerim</t>
  </si>
  <si>
    <t>В разрезе по годам по действующим проектам</t>
  </si>
  <si>
    <t>ДПГ-22-13-058/124</t>
  </si>
  <si>
    <t>МЖК Auezov City 4 очередь, пятна 8,9,10</t>
  </si>
  <si>
    <t>ТОО BBS GOLD"</t>
  </si>
  <si>
    <t xml:space="preserve"> ТОО "Трансстрой""</t>
  </si>
  <si>
    <t>ТОО "OTYRAR SATU"</t>
  </si>
  <si>
    <t>ТОО "Kanfar Building""</t>
  </si>
  <si>
    <t xml:space="preserve"> ТОО "Nova City Development"</t>
  </si>
  <si>
    <t>МЖК Аман пятно 7</t>
  </si>
  <si>
    <t>03.11.2022
Соотв.</t>
  </si>
  <si>
    <t>04.11.2022
Отриц.</t>
  </si>
  <si>
    <t>07.11.2022
Отриц.</t>
  </si>
  <si>
    <t>03.11.2022
Полож.</t>
  </si>
  <si>
    <t>ТОО "BESTLIFE SOLUTIONS"</t>
  </si>
  <si>
    <t>МЖК Достар пятно 12</t>
  </si>
  <si>
    <t>Исмаков Адиль</t>
  </si>
  <si>
    <t>МЖК Зангар</t>
  </si>
  <si>
    <t>МЖК Баян Сулу</t>
  </si>
  <si>
    <t>ТОО "АК ДИДАР-3"</t>
  </si>
  <si>
    <t>доп.согл.№ 1 к 
ДПГ-22-05-031/122  13.09.2022</t>
  </si>
  <si>
    <t>доп.согл.№ 2 к 
ДПГ-22-05-031/122  13.09.2022</t>
  </si>
  <si>
    <t xml:space="preserve">36 856 555 </t>
  </si>
  <si>
    <t>Башеева Жанна</t>
  </si>
  <si>
    <t>23.11.2022
Полож.</t>
  </si>
  <si>
    <t>23.11.2022
Отриц.</t>
  </si>
  <si>
    <t>22.11.2022
Соотв.</t>
  </si>
  <si>
    <t xml:space="preserve">24.11.2022
Отриц. </t>
  </si>
  <si>
    <t>Нурбаев Нурлан</t>
  </si>
  <si>
    <t>ТОО "BAZIS-А Corp."</t>
  </si>
  <si>
    <t>ТОО "УК Орынбор 2017"</t>
  </si>
  <si>
    <t>ДПГ-22-01-053/125</t>
  </si>
  <si>
    <t>3,12,16</t>
  </si>
  <si>
    <t>ЖК в г.Актобе</t>
  </si>
  <si>
    <t>29.11.2022
Отказ.</t>
  </si>
  <si>
    <t>29.11.2022
Соотв.</t>
  </si>
  <si>
    <t>30.11.2022
Отказ.</t>
  </si>
  <si>
    <t>01.12.2022
Отказ.</t>
  </si>
  <si>
    <t>29.11.2022
Отриц.</t>
  </si>
  <si>
    <t>08.12.2022
Отриц.</t>
  </si>
  <si>
    <t>05.12.2022
Соотв.</t>
  </si>
  <si>
    <t>07.12.2022
Полож.</t>
  </si>
  <si>
    <t>08.12.2022
Полож.</t>
  </si>
  <si>
    <t>07.12.2022
Соотв.</t>
  </si>
  <si>
    <t>08.12.2022
Не соотв.</t>
  </si>
  <si>
    <t>07.12.2022
Не соотв.</t>
  </si>
  <si>
    <t>09.12.2022
Отриц.</t>
  </si>
  <si>
    <t>29.11.2022
Не соотв.</t>
  </si>
  <si>
    <t>ТОО "Gefest-2021"</t>
  </si>
  <si>
    <t>ТОО «А.Р.Т. -ҚҰРЫЛЫС»</t>
  </si>
  <si>
    <t>ТОО «TURAN NEW BUILD»</t>
  </si>
  <si>
    <t>МЖК Отырар</t>
  </si>
  <si>
    <t>МЖК Яссауи</t>
  </si>
  <si>
    <t>ЖК Кристалл</t>
  </si>
  <si>
    <t>1,12,16</t>
  </si>
  <si>
    <t>МЖК  Jetisu Aqsu</t>
  </si>
  <si>
    <t>ТОО «ASTANA REALITY GROUP»</t>
  </si>
  <si>
    <t>доп.согл.№ 7 к 
ДПГ-21-02-001/062 от 17.05.2021</t>
  </si>
  <si>
    <t>15.12.2022
Полож.</t>
  </si>
  <si>
    <t>ТОО «Sensata Engineering»</t>
  </si>
  <si>
    <t>ТОО «SENSATA CONSTRUCTION»</t>
  </si>
  <si>
    <t>30.11.2022
Не соотв.</t>
  </si>
  <si>
    <t>14.12.2022
Полож.</t>
  </si>
  <si>
    <t xml:space="preserve">19.12.2022
Полож. </t>
  </si>
  <si>
    <t>19.12.2022
Не соотв.</t>
  </si>
  <si>
    <t>19.12.2022
Соотв.</t>
  </si>
  <si>
    <t>19.12.2022
Отриц.</t>
  </si>
  <si>
    <t>14.12.2022
Соотв.</t>
  </si>
  <si>
    <t xml:space="preserve">19.12.2022
Отриц. </t>
  </si>
  <si>
    <t>15.12.2022
Соотв.</t>
  </si>
  <si>
    <t xml:space="preserve">14.12.2022
Соотв. </t>
  </si>
  <si>
    <t xml:space="preserve">19.12.2022
Соотв. </t>
  </si>
  <si>
    <t xml:space="preserve">19.12.2022
Не соотв. </t>
  </si>
  <si>
    <t xml:space="preserve">15.12.2022
Соотв. </t>
  </si>
  <si>
    <t>20.12.2022
Отказ.</t>
  </si>
  <si>
    <t>21.12.2022
Отриц.</t>
  </si>
  <si>
    <t>21.12.2022
Полож.</t>
  </si>
  <si>
    <t>доп.согл.№ 5 к 
ДПГ-21-01-001/058 от 09.04.2021</t>
  </si>
  <si>
    <t>МЖК Бурабай 2</t>
  </si>
  <si>
    <t>20.12.2022
Доработка</t>
  </si>
  <si>
    <t>23.12.2022
Доработка</t>
  </si>
  <si>
    <t>15.12.2022
Доработка</t>
  </si>
  <si>
    <t>08.12.2022
Доработка</t>
  </si>
  <si>
    <t>06.12.2022
Доработка</t>
  </si>
  <si>
    <t>13.12.2022
Доработка</t>
  </si>
  <si>
    <t>02.12.2022
Доработка</t>
  </si>
  <si>
    <t>01.12.2022
Доработка</t>
  </si>
  <si>
    <t>30.11.20222
Доработка</t>
  </si>
  <si>
    <t>22.12.2022
Доработка</t>
  </si>
  <si>
    <t>28.12.2022
Полож.</t>
  </si>
  <si>
    <t>29.12.2022
Отриц.</t>
  </si>
  <si>
    <t>29.12.2022
Полож.</t>
  </si>
  <si>
    <t>28.12.2022
Отказ.</t>
  </si>
  <si>
    <t>27.12.2022
Соотв.</t>
  </si>
  <si>
    <t>МЖК Престиж, 2 очередь</t>
  </si>
  <si>
    <t>Хамзин А.</t>
  </si>
  <si>
    <t xml:space="preserve">09.01.2023
Доработка </t>
  </si>
  <si>
    <t>06.01.2023
Соотв.</t>
  </si>
  <si>
    <t xml:space="preserve">10.01.2023
Доработка </t>
  </si>
  <si>
    <t>05.01.2023
Соотв.</t>
  </si>
  <si>
    <t xml:space="preserve">МЖК Gul-Ana 4 очередь, 11 пятно </t>
  </si>
  <si>
    <t>ДПГ-22-13-050/126</t>
  </si>
  <si>
    <t>2023 год</t>
  </si>
  <si>
    <t>ТОО "Astana oil trade"</t>
  </si>
  <si>
    <t>ТОО «Arlyn»</t>
  </si>
  <si>
    <t>ТОО «Atamura Group»</t>
  </si>
  <si>
    <t>ТОО "Азат-М"</t>
  </si>
  <si>
    <t>ТОО "CRYSTAL SHYMKENT"</t>
  </si>
  <si>
    <t>ТОО "SK Qyrulus"</t>
  </si>
  <si>
    <t>ТОО "Shanyraq Qurylys"</t>
  </si>
  <si>
    <t xml:space="preserve">Алимжанова Данира </t>
  </si>
  <si>
    <t>16.01.2023
Отриц.</t>
  </si>
  <si>
    <t xml:space="preserve">23.01.2023
Доработка </t>
  </si>
  <si>
    <t xml:space="preserve">18.01.2023
Доработка </t>
  </si>
  <si>
    <t>17.01.2023
Соотв.</t>
  </si>
  <si>
    <t xml:space="preserve">20.01.2023
Доработка </t>
  </si>
  <si>
    <t>18.01.2023
Не соотв.</t>
  </si>
  <si>
    <t xml:space="preserve">26.01.2023
Доработка </t>
  </si>
  <si>
    <t>24.01.2023
Полож.</t>
  </si>
  <si>
    <t>24.01.2023
Соотв.</t>
  </si>
  <si>
    <t xml:space="preserve">25.01.2023
Отриц. </t>
  </si>
  <si>
    <t>25.01.2023
Отриц.</t>
  </si>
  <si>
    <t xml:space="preserve">26.01.2023
Отриц. </t>
  </si>
  <si>
    <t>ТОО "АҚ ҚАЙЫҚ"</t>
  </si>
  <si>
    <t xml:space="preserve">МЖК Достык в г.Уральск </t>
  </si>
  <si>
    <t>Алимжанова Д.</t>
  </si>
  <si>
    <t>ДПГ-23-01-029/129</t>
  </si>
  <si>
    <t>07.02.2023
Отриц.</t>
  </si>
  <si>
    <t>06.02.2023
Отриц.</t>
  </si>
  <si>
    <t xml:space="preserve">06.02.2023
Соотв. </t>
  </si>
  <si>
    <t>06/02/2023
Не соотв.</t>
  </si>
  <si>
    <r>
      <t>1 очередь – 07.04.2022г.</t>
    </r>
    <r>
      <rPr>
        <sz val="12"/>
        <rFont val="Times New Roman"/>
        <family val="1"/>
        <charset val="204"/>
      </rPr>
      <t xml:space="preserve">
2 очередь – 21.04.2022г.;
</t>
    </r>
    <r>
      <rPr>
        <sz val="12"/>
        <color rgb="FFFF0000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4 очередь - 11.08.2022г.</t>
    </r>
  </si>
  <si>
    <r>
      <t>1 очередь – 01.04.2022г.</t>
    </r>
    <r>
      <rPr>
        <sz val="12"/>
        <rFont val="Times New Roman"/>
        <family val="1"/>
        <charset val="204"/>
      </rPr>
      <t xml:space="preserve">
2 очередь – 01.04.2022г.;
</t>
    </r>
    <r>
      <rPr>
        <sz val="12"/>
        <color rgb="FFFF0000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4 очередь - 22.07.2022г.</t>
    </r>
  </si>
  <si>
    <t xml:space="preserve"> 18.05.2021</t>
  </si>
  <si>
    <t xml:space="preserve">
30.07.2020</t>
  </si>
  <si>
    <t xml:space="preserve">
30.04.2019</t>
  </si>
  <si>
    <t>доп.согл.№ 2 к 
ДПГ-21-02-025/073 от 24.09.2021</t>
  </si>
  <si>
    <t>доп.согл.№ 1 к 
ДПГ-22-01-047/105 от 15.02.2022</t>
  </si>
  <si>
    <t>г.Астана</t>
  </si>
  <si>
    <t>МЖК Комфортный дом  Новом городе 3</t>
  </si>
  <si>
    <t xml:space="preserve">Жакыпбеков Адильхан </t>
  </si>
  <si>
    <r>
      <rPr>
        <b/>
        <i/>
        <sz val="12"/>
        <color rgb="FFFF0000"/>
        <rFont val="Times New Roman"/>
        <family val="1"/>
        <charset val="204"/>
      </rPr>
      <t xml:space="preserve">Увеличение стоимости </t>
    </r>
    <r>
      <rPr>
        <sz val="12"/>
        <rFont val="Times New Roman"/>
        <family val="1"/>
        <charset val="204"/>
      </rPr>
      <t xml:space="preserve">
</t>
    </r>
    <r>
      <rPr>
        <b/>
        <sz val="12"/>
        <rFont val="Times New Roman"/>
        <family val="1"/>
        <charset val="204"/>
      </rPr>
      <t>МЖК Kerim</t>
    </r>
  </si>
  <si>
    <r>
      <rPr>
        <b/>
        <sz val="12"/>
        <color rgb="FFFF0000"/>
        <rFont val="Times New Roman"/>
        <family val="1"/>
        <charset val="204"/>
      </rPr>
      <t xml:space="preserve">Увеличение стоимости </t>
    </r>
    <r>
      <rPr>
        <b/>
        <sz val="12"/>
        <rFont val="Times New Roman"/>
        <family val="1"/>
        <charset val="204"/>
      </rPr>
      <t xml:space="preserve">
МЖК Elorda residensе </t>
    </r>
  </si>
  <si>
    <t>ТОО "ALEM GROUP KAZAKHSTAN"</t>
  </si>
  <si>
    <t>МЖК Городской романс, блоки 5,7</t>
  </si>
  <si>
    <t>МЖК Jetisu Aqsu</t>
  </si>
  <si>
    <t>МЖК Городской романс, блок 9</t>
  </si>
  <si>
    <t>МЖК Городской романс, блок 6</t>
  </si>
  <si>
    <t xml:space="preserve">МЖК Дастюр </t>
  </si>
  <si>
    <t>г.Алматы</t>
  </si>
  <si>
    <t>МЖК Aisar</t>
  </si>
  <si>
    <t>ДПГ-23-01-010/130</t>
  </si>
  <si>
    <t>21.02.2023
Доработка</t>
  </si>
  <si>
    <t xml:space="preserve">22.02.2023
Доработка </t>
  </si>
  <si>
    <t>22.02.2023
Не соотв.</t>
  </si>
  <si>
    <t>Бажиева Жанна</t>
  </si>
  <si>
    <t>МЖК Sezim Qala Shattyq</t>
  </si>
  <si>
    <t>МЖК Apartex Burabay</t>
  </si>
  <si>
    <t>ДПГ-23-02-031/131</t>
  </si>
  <si>
    <t>МЖК Sezim Qala, очередь 13</t>
  </si>
  <si>
    <t>24.02.2023
Доработка</t>
  </si>
  <si>
    <t xml:space="preserve">21.02.2023
Доработка </t>
  </si>
  <si>
    <t>17.02.2023
Соотв.</t>
  </si>
  <si>
    <t>МЖК Life Town, 1 очередь, 2 пусковой</t>
  </si>
  <si>
    <t>МЖК Life Town, 1 очередь, 1 пусковой и наружные сети</t>
  </si>
  <si>
    <r>
      <rPr>
        <b/>
        <i/>
        <sz val="12"/>
        <color rgb="FFFF0000"/>
        <rFont val="Times New Roman"/>
        <family val="1"/>
        <charset val="204"/>
      </rPr>
      <t xml:space="preserve">Увеличение стоимости </t>
    </r>
    <r>
      <rPr>
        <b/>
        <sz val="12"/>
        <rFont val="Times New Roman"/>
        <family val="1"/>
        <charset val="204"/>
      </rPr>
      <t xml:space="preserve">
МЖК Life Town 1 очередь, 2 пусковой</t>
    </r>
  </si>
  <si>
    <t>ДПГ-23-13-055/132</t>
  </si>
  <si>
    <t>09.03.2023
Доработка</t>
  </si>
  <si>
    <t xml:space="preserve">09.03.2023
Полож. </t>
  </si>
  <si>
    <t xml:space="preserve">07.03.2023
Не соотв. </t>
  </si>
  <si>
    <t xml:space="preserve">07.03.2023
Соотв. </t>
  </si>
  <si>
    <t>ДРЮЛ</t>
  </si>
  <si>
    <t xml:space="preserve">10.03.2023
Соотв. </t>
  </si>
  <si>
    <t>ДПГ-23-05-052/133</t>
  </si>
  <si>
    <t>МЖК Sun City Блок 2</t>
  </si>
  <si>
    <t xml:space="preserve">10.03.2023
Доработка </t>
  </si>
  <si>
    <t xml:space="preserve">14.03.2023
Доработка </t>
  </si>
  <si>
    <t>13.03.2023
Доработка</t>
  </si>
  <si>
    <t>14.03.2023
Доработка</t>
  </si>
  <si>
    <t xml:space="preserve">20.03.2023
Доработка </t>
  </si>
  <si>
    <t>20.03.2023
Соотв.</t>
  </si>
  <si>
    <t>24.03.2023
Полож.</t>
  </si>
  <si>
    <t>МЖК в г.Косшы</t>
  </si>
  <si>
    <t>24.03.2023
Не соотв.</t>
  </si>
  <si>
    <t>27.03.2023
Отриц.</t>
  </si>
  <si>
    <t xml:space="preserve">27.03.2023
Отриц. </t>
  </si>
  <si>
    <t xml:space="preserve">20.03.2023
Отриц. </t>
  </si>
  <si>
    <t>МЖК Prestige City, 4 квартал, 1 оч.</t>
  </si>
  <si>
    <t xml:space="preserve">28.02.2023
Доработка </t>
  </si>
  <si>
    <t xml:space="preserve">27.02.2023
Доработка </t>
  </si>
  <si>
    <t>24.02.2023
Соотв.</t>
  </si>
  <si>
    <t>27.02.2023
Доработка</t>
  </si>
  <si>
    <t xml:space="preserve">15.03.2023
Полож. </t>
  </si>
  <si>
    <t xml:space="preserve">15.03.2023
Отриц. </t>
  </si>
  <si>
    <t xml:space="preserve">14.03.2023
Соотв. </t>
  </si>
  <si>
    <t xml:space="preserve">16.03.2023
Отриц. </t>
  </si>
  <si>
    <t xml:space="preserve">15.03.2023
Соотв. </t>
  </si>
  <si>
    <t xml:space="preserve">03.03.2023
Доработка </t>
  </si>
  <si>
    <t>ДПГ-23-01-001/134</t>
  </si>
  <si>
    <t>30.03.2023
Доработка</t>
  </si>
  <si>
    <t>30.03.2023
Соотв.</t>
  </si>
  <si>
    <t>Астана</t>
  </si>
  <si>
    <t>Алматы</t>
  </si>
  <si>
    <t>Область</t>
  </si>
  <si>
    <t>30.03.2023
Не соотв.</t>
  </si>
  <si>
    <t>30.03.2023
Полож.</t>
  </si>
  <si>
    <t>03.04.2023
Полож.</t>
  </si>
  <si>
    <t xml:space="preserve">04.04.2023
Полож. </t>
  </si>
  <si>
    <t>31.03.2023
Соотв.</t>
  </si>
  <si>
    <t xml:space="preserve">31.03.2023
Соотв. </t>
  </si>
  <si>
    <t>04.03.2023
Отриц.</t>
  </si>
  <si>
    <t>04.04.2023
Не соотв.</t>
  </si>
  <si>
    <t xml:space="preserve">05.04.2023
Отриц. </t>
  </si>
  <si>
    <t>ТОО "Биik Шаңырақ"</t>
  </si>
  <si>
    <t>ТОО "Apartex Burabay"</t>
  </si>
  <si>
    <t>ТОО "Family Village NS"</t>
  </si>
  <si>
    <t>ТОО "Алтын Саулет Астана"</t>
  </si>
  <si>
    <t>05.04.2023
Доработка</t>
  </si>
  <si>
    <t>06.04.2023
Доработка</t>
  </si>
  <si>
    <t>12.04.2023
Доработка</t>
  </si>
  <si>
    <t>ТОО "Ғимарат НС"</t>
  </si>
  <si>
    <t>МЖК Столичный -2, блок 4</t>
  </si>
  <si>
    <t>ДПГ-23-13-046/135</t>
  </si>
  <si>
    <t xml:space="preserve">26.04.2023
Отриц. </t>
  </si>
  <si>
    <t>21.04.2023
Не соотв.</t>
  </si>
  <si>
    <t>ТОО "LP City"</t>
  </si>
  <si>
    <t>ТОО "Марапат"</t>
  </si>
  <si>
    <t>24.04.2023
Отриц.</t>
  </si>
  <si>
    <t>25.04.2023
Отриц.</t>
  </si>
  <si>
    <t>1.04.2023
Не соотв.</t>
  </si>
  <si>
    <t>ДПГ-23-03-034/137</t>
  </si>
  <si>
    <t>МЖК Алтын Сапа</t>
  </si>
  <si>
    <t>ТОО "Astana 2021 KA"</t>
  </si>
  <si>
    <t>ТОО "МАКСТРОЙ АСТАНА"</t>
  </si>
  <si>
    <t xml:space="preserve">МЖК Арлын оч.4 </t>
  </si>
  <si>
    <t>ТОО "Eurasia Building1"</t>
  </si>
  <si>
    <t>ТОО "COMFORT SOLUTIONS"</t>
  </si>
  <si>
    <t xml:space="preserve">04.05.2023 доработка </t>
  </si>
  <si>
    <t xml:space="preserve">04.05.2023 соответ. </t>
  </si>
  <si>
    <t xml:space="preserve">04.05.2023  соответс. </t>
  </si>
  <si>
    <t>05.05.2023 доработка</t>
  </si>
  <si>
    <t>Шымкент</t>
  </si>
  <si>
    <t>ДПГ-23-01-008/136</t>
  </si>
  <si>
    <t xml:space="preserve">15.05.2023
Доработка </t>
  </si>
  <si>
    <t>ТОО "Orda Invest Development"</t>
  </si>
  <si>
    <t>24.05.2023 полож.</t>
  </si>
  <si>
    <t xml:space="preserve">24.05.2023 соотв. </t>
  </si>
  <si>
    <t xml:space="preserve">24.05.2023 полож. </t>
  </si>
  <si>
    <t xml:space="preserve">26.05.2023 отказ  </t>
  </si>
  <si>
    <t xml:space="preserve">26.05.2023 отказ. </t>
  </si>
  <si>
    <t>26.05.2023 отказ</t>
  </si>
  <si>
    <t>ДПГ-23-01-008/141</t>
  </si>
  <si>
    <t>ДПГ-23-07-061/139</t>
  </si>
  <si>
    <t>МЖК в г. Усть-Каменогорск</t>
  </si>
  <si>
    <t>ЖК ГАЛАМАТ</t>
  </si>
  <si>
    <t>ТОО "Медремсервис"</t>
  </si>
  <si>
    <t>ТОО "Алтын Сапа Астана"</t>
  </si>
  <si>
    <t>ТОО "Эдельвейс"</t>
  </si>
  <si>
    <t>ТОО "НОВОСТРОЙ-АКТОБЕ"</t>
  </si>
  <si>
    <t xml:space="preserve">Жусанова Т. </t>
  </si>
  <si>
    <t>МЖК Landmark, 3 очередь, пятна 1,3</t>
  </si>
  <si>
    <t xml:space="preserve">Акмолинская обл., г. Косшы </t>
  </si>
  <si>
    <t>МЖК Арлын оч.3</t>
  </si>
  <si>
    <t>Актобе</t>
  </si>
  <si>
    <t xml:space="preserve">Уральск </t>
  </si>
  <si>
    <t>Номер в SB</t>
  </si>
  <si>
    <t>ТОО "EGREGOR OF FINANCE SH.R."</t>
  </si>
  <si>
    <t>ТОО "MERIDIAN stroy LTD."</t>
  </si>
  <si>
    <t xml:space="preserve"> ТОО "PARASAT II"</t>
  </si>
  <si>
    <t>ТОО "Biryuza Construction»</t>
  </si>
  <si>
    <t>ТОО "УК Шанырак Строй"</t>
  </si>
  <si>
    <t>ТОО "Элит Проект Инжиниринг"</t>
  </si>
  <si>
    <t>ТОО ""ЖК ГАЛАМАТ"</t>
  </si>
  <si>
    <t xml:space="preserve">  ТОО "BAZIS-А Corp."</t>
  </si>
  <si>
    <t>Караганда</t>
  </si>
  <si>
    <t>стоимость по Проектам</t>
  </si>
  <si>
    <t>площадь по Проектам</t>
  </si>
  <si>
    <t>кол-во квартир по Проектам</t>
  </si>
  <si>
    <r>
      <t xml:space="preserve">МЖК в г.Усть-каменогорск
</t>
    </r>
    <r>
      <rPr>
        <b/>
        <i/>
        <sz val="12"/>
        <color rgb="FFFF0000"/>
        <rFont val="Times New Roman"/>
        <family val="1"/>
        <charset val="204"/>
      </rPr>
      <t>Договор не заключен, отзыв заявки</t>
    </r>
  </si>
  <si>
    <r>
      <t xml:space="preserve">МЖК Sensata City, 3 очередь 
</t>
    </r>
    <r>
      <rPr>
        <b/>
        <i/>
        <sz val="12"/>
        <color rgb="FFFF0000"/>
        <rFont val="Times New Roman"/>
        <family val="1"/>
        <charset val="204"/>
      </rPr>
      <t>Договор не заключен, отзыв заявки, в связи с отказом в подписании ДИУ</t>
    </r>
  </si>
  <si>
    <r>
      <t xml:space="preserve">МЖК Diplomat                                     </t>
    </r>
    <r>
      <rPr>
        <b/>
        <i/>
        <sz val="12"/>
        <color rgb="FFFF0000"/>
        <rFont val="Times New Roman"/>
        <family val="1"/>
        <charset val="204"/>
      </rPr>
      <t>Договор не заключен, отзыв заявки, в связи с отказом в подписании ДИУ</t>
    </r>
  </si>
  <si>
    <t>РАСТОРГНУТЫЕ ДОГОВОРА (после подписания ДПГ)</t>
  </si>
  <si>
    <t>из них расторгнутые</t>
  </si>
  <si>
    <r>
      <rPr>
        <b/>
        <i/>
        <sz val="12"/>
        <color rgb="FFFF0000"/>
        <rFont val="Times New Roman"/>
        <family val="1"/>
        <charset val="204"/>
      </rPr>
      <t xml:space="preserve">Уменьшение стоимости </t>
    </r>
    <r>
      <rPr>
        <b/>
        <sz val="12"/>
        <rFont val="Times New Roman"/>
        <family val="1"/>
        <charset val="204"/>
      </rPr>
      <t xml:space="preserve">
МЖК Столичный-2</t>
    </r>
  </si>
  <si>
    <r>
      <rPr>
        <b/>
        <i/>
        <sz val="12"/>
        <color rgb="FFFF0000"/>
        <rFont val="Times New Roman"/>
        <family val="1"/>
        <charset val="204"/>
      </rPr>
      <t>Увеличение стоимости</t>
    </r>
    <r>
      <rPr>
        <b/>
        <sz val="12"/>
        <color rgb="FFFF0000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 xml:space="preserve">
ЖК "Ак Дидар", (пятна 9-13)</t>
    </r>
  </si>
  <si>
    <r>
      <rPr>
        <b/>
        <i/>
        <sz val="12"/>
        <color rgb="FFFF0000"/>
        <rFont val="Times New Roman"/>
        <family val="1"/>
        <charset val="204"/>
      </rPr>
      <t xml:space="preserve">Увеличение стоимости </t>
    </r>
    <r>
      <rPr>
        <b/>
        <sz val="12"/>
        <rFont val="Times New Roman"/>
        <family val="1"/>
        <charset val="204"/>
      </rPr>
      <t xml:space="preserve">
МЖК Nova City на Туране, 1 очередь. Наружные инженерные сети.</t>
    </r>
  </si>
  <si>
    <r>
      <rPr>
        <b/>
        <i/>
        <sz val="12"/>
        <color rgb="FFFF0000"/>
        <rFont val="Times New Roman"/>
        <family val="1"/>
        <charset val="204"/>
      </rPr>
      <t xml:space="preserve">Увеличение стоимости </t>
    </r>
    <r>
      <rPr>
        <b/>
        <sz val="12"/>
        <rFont val="Times New Roman"/>
        <family val="1"/>
        <charset val="204"/>
      </rPr>
      <t xml:space="preserve">
МЖК Сердце Столицы, 1 оч. Наружные инженерные сети</t>
    </r>
  </si>
  <si>
    <r>
      <rPr>
        <b/>
        <i/>
        <sz val="12"/>
        <color rgb="FFFF0000"/>
        <rFont val="Times New Roman"/>
        <family val="1"/>
        <charset val="204"/>
      </rPr>
      <t xml:space="preserve">Увеличение стоимости </t>
    </r>
    <r>
      <rPr>
        <b/>
        <sz val="12"/>
        <rFont val="Times New Roman"/>
        <family val="1"/>
        <charset val="204"/>
      </rPr>
      <t xml:space="preserve">
МЖК Асыл Мура, блок А. Наружные инженерные сети</t>
    </r>
  </si>
  <si>
    <r>
      <rPr>
        <b/>
        <i/>
        <sz val="12"/>
        <color rgb="FFFF0000"/>
        <rFont val="Times New Roman"/>
        <family val="1"/>
        <charset val="204"/>
      </rPr>
      <t xml:space="preserve">Увеличение стоимости </t>
    </r>
    <r>
      <rPr>
        <b/>
        <sz val="12"/>
        <rFont val="Times New Roman"/>
        <family val="1"/>
        <charset val="204"/>
      </rPr>
      <t xml:space="preserve">
МЖК SOHO, Квартал 1В, Очереди 1 и 2, Блоки 1-7, 8.1.</t>
    </r>
  </si>
  <si>
    <r>
      <rPr>
        <b/>
        <i/>
        <sz val="12"/>
        <color rgb="FFFF0000"/>
        <rFont val="Times New Roman"/>
        <family val="1"/>
        <charset val="204"/>
      </rPr>
      <t xml:space="preserve">Увеличение стоимости </t>
    </r>
    <r>
      <rPr>
        <b/>
        <sz val="12"/>
        <rFont val="Times New Roman"/>
        <family val="1"/>
        <charset val="204"/>
      </rPr>
      <t xml:space="preserve">
МЖК Аман, пятна 1, 2, 3</t>
    </r>
  </si>
  <si>
    <r>
      <rPr>
        <b/>
        <i/>
        <sz val="12"/>
        <color rgb="FFFF0000"/>
        <rFont val="Times New Roman"/>
        <family val="1"/>
        <charset val="204"/>
      </rPr>
      <t xml:space="preserve">Увеличение стоимости </t>
    </r>
    <r>
      <rPr>
        <b/>
        <sz val="12"/>
        <rFont val="Times New Roman"/>
        <family val="1"/>
        <charset val="204"/>
      </rPr>
      <t xml:space="preserve">
МЖК Sezim Qala 10 очередь
Наружные инженерные сети. </t>
    </r>
  </si>
  <si>
    <r>
      <rPr>
        <b/>
        <i/>
        <sz val="12"/>
        <color rgb="FFFF0000"/>
        <rFont val="Times New Roman"/>
        <family val="1"/>
        <charset val="204"/>
      </rPr>
      <t>Увеличение стоимости</t>
    </r>
    <r>
      <rPr>
        <b/>
        <sz val="12"/>
        <rFont val="Times New Roman"/>
        <family val="1"/>
        <charset val="204"/>
      </rPr>
      <t xml:space="preserve">
 МЖК Асыл Мура, блок В. Наружные инженерные сети</t>
    </r>
  </si>
  <si>
    <r>
      <rPr>
        <b/>
        <i/>
        <sz val="12"/>
        <color rgb="FFFF0000"/>
        <rFont val="Times New Roman"/>
        <family val="1"/>
        <charset val="204"/>
      </rPr>
      <t>Увеличение стоимости</t>
    </r>
    <r>
      <rPr>
        <b/>
        <sz val="12"/>
        <rFont val="Times New Roman"/>
        <family val="1"/>
        <charset val="204"/>
      </rPr>
      <t xml:space="preserve">
МЖК Sezim, Qala 12 очередь 
Наружные инженерные сети. </t>
    </r>
  </si>
  <si>
    <t xml:space="preserve">Итоговая стоимость с учетом снижения обязательств </t>
  </si>
  <si>
    <r>
      <t xml:space="preserve">МЖК Ак-Дидар 3, пятна 92,93,94
</t>
    </r>
    <r>
      <rPr>
        <b/>
        <i/>
        <sz val="12"/>
        <color rgb="FFFF0000"/>
        <rFont val="Times New Roman"/>
        <family val="1"/>
        <charset val="204"/>
      </rPr>
      <t>Договор не заключен, отзыв заявки, в связи с отказом в подписании ДИУ</t>
    </r>
  </si>
  <si>
    <t>Проекты, по которым принято решение об отказе</t>
  </si>
  <si>
    <t>Алматинская область
c.Бесагаш</t>
  </si>
  <si>
    <t>ТОО "City Club Construction"</t>
  </si>
  <si>
    <t>Бижанова Назым</t>
  </si>
  <si>
    <t xml:space="preserve">Алматинская область
Илийский р-н, п. Боралдай </t>
  </si>
  <si>
    <t xml:space="preserve">МЖК Шахар Сити 1 очередь </t>
  </si>
  <si>
    <t>Проекты, по которым принято решение об отказе по DB</t>
  </si>
  <si>
    <t>ВСЕГО ОТКАЗАНО</t>
  </si>
  <si>
    <t xml:space="preserve"> 15.09.2022</t>
  </si>
  <si>
    <t xml:space="preserve"> 18.10.2022</t>
  </si>
  <si>
    <t xml:space="preserve"> 01.11.2022</t>
  </si>
  <si>
    <t xml:space="preserve"> 15.11.2022</t>
  </si>
  <si>
    <t xml:space="preserve"> 29.11.2022</t>
  </si>
  <si>
    <t xml:space="preserve"> 13.11.2022</t>
  </si>
  <si>
    <t xml:space="preserve"> 29.12.2022</t>
  </si>
  <si>
    <t xml:space="preserve"> 10.01.2023</t>
  </si>
  <si>
    <t xml:space="preserve"> 16.02.2023</t>
  </si>
  <si>
    <t xml:space="preserve"> 10.03.2023</t>
  </si>
  <si>
    <t xml:space="preserve">  28.03.2023</t>
  </si>
  <si>
    <t xml:space="preserve">  07.04.2023</t>
  </si>
  <si>
    <t xml:space="preserve"> 13.04.2023</t>
  </si>
  <si>
    <t xml:space="preserve">  25.04.2023</t>
  </si>
  <si>
    <t xml:space="preserve">  05.05.2023</t>
  </si>
  <si>
    <t xml:space="preserve">  01.06.2023</t>
  </si>
  <si>
    <t>ДПГ НЕ ЗАКЛЮЧЕН</t>
  </si>
  <si>
    <t>ДПГ РАСТОРГНУТ</t>
  </si>
  <si>
    <t>Алматинска обл.
г.Конаев</t>
  </si>
  <si>
    <t>ДПГ-23-01-008/143</t>
  </si>
  <si>
    <t>ДПГ-23-01-008/145</t>
  </si>
  <si>
    <t xml:space="preserve">23.06.2023
Не соотв. </t>
  </si>
  <si>
    <t>23.06.2023
Полож.</t>
  </si>
  <si>
    <t>ТОО "Ferrum Co."</t>
  </si>
  <si>
    <t>ТОО "Turan Satu"</t>
  </si>
  <si>
    <t>МЖК Туран</t>
  </si>
  <si>
    <t xml:space="preserve">23.06.2023
Доработка </t>
  </si>
  <si>
    <t xml:space="preserve">21.06.2023
Доработка </t>
  </si>
  <si>
    <t xml:space="preserve">21.06.2023
Соотв. </t>
  </si>
  <si>
    <t>26.06.2023
Доработка</t>
  </si>
  <si>
    <t xml:space="preserve">26.06.2023
Соотв. </t>
  </si>
  <si>
    <t>27.06.2023
Доработка</t>
  </si>
  <si>
    <t>01.07.2023 отриц.</t>
  </si>
  <si>
    <t>МЖК Австрийский квартал, блоки 1,2,3</t>
  </si>
  <si>
    <t>МЖК Восточный квартал, блоки 8,10</t>
  </si>
  <si>
    <t>Баркинхоев А.</t>
  </si>
  <si>
    <r>
      <t xml:space="preserve">МЖК  Jetisu Aqsu 3
</t>
    </r>
    <r>
      <rPr>
        <b/>
        <i/>
        <sz val="12"/>
        <color rgb="FFFF0000"/>
        <rFont val="Times New Roman"/>
        <family val="1"/>
        <charset val="204"/>
      </rPr>
      <t>Договор не заключен, отзыв заявки, в связи с отказом в подписании ДИУ</t>
    </r>
  </si>
  <si>
    <t>МЖК Crystal</t>
  </si>
  <si>
    <t>ДПГ-23-04-063/144</t>
  </si>
  <si>
    <t xml:space="preserve">12.07.2023
Отриц. </t>
  </si>
  <si>
    <t xml:space="preserve">МЖК Жер Ана
</t>
  </si>
  <si>
    <r>
      <rPr>
        <b/>
        <sz val="12"/>
        <color rgb="FFFF0000"/>
        <rFont val="Times New Roman"/>
        <family val="1"/>
        <charset val="204"/>
      </rPr>
      <t xml:space="preserve">Увеличение стоимости </t>
    </r>
    <r>
      <rPr>
        <b/>
        <sz val="12"/>
        <rFont val="Times New Roman"/>
        <family val="1"/>
        <charset val="204"/>
      </rPr>
      <t xml:space="preserve">
МЖК Жер Ана</t>
    </r>
  </si>
  <si>
    <t>14.07.2023
Не соотв.</t>
  </si>
  <si>
    <t xml:space="preserve">17.07.2023
Отказ. </t>
  </si>
  <si>
    <t>14.07.2023
Полож.</t>
  </si>
  <si>
    <t xml:space="preserve">17.07.2023
Соотв. </t>
  </si>
  <si>
    <t xml:space="preserve">14.07.2023
Полож. </t>
  </si>
  <si>
    <t>МЖК Asyl Tas</t>
  </si>
  <si>
    <t xml:space="preserve">17.07.2023
Отриц. </t>
  </si>
  <si>
    <t xml:space="preserve">13.07.2023
Полож. </t>
  </si>
  <si>
    <t xml:space="preserve">12.07.20.23
Соотв. </t>
  </si>
  <si>
    <t xml:space="preserve">13.07.2023
Отриц. </t>
  </si>
  <si>
    <t>ДПГ-23-01-047/146</t>
  </si>
  <si>
    <t xml:space="preserve">19.07.2023
Отриц. </t>
  </si>
  <si>
    <t>ДПГ-23-02-064/147</t>
  </si>
  <si>
    <t xml:space="preserve">Балл Застройщика </t>
  </si>
  <si>
    <t>Балл Застройщика</t>
  </si>
  <si>
    <t xml:space="preserve"> ТОО "Life Town"</t>
  </si>
  <si>
    <t>ДПГ-23-03-049/148</t>
  </si>
  <si>
    <t>Арыстанбекова А.</t>
  </si>
  <si>
    <t xml:space="preserve">Алимжанова Д. </t>
  </si>
  <si>
    <t>МЖК Алия, 2 очередь</t>
  </si>
  <si>
    <t>МЖК Алия, 1 очередь</t>
  </si>
  <si>
    <t>МЖК Лесная поляна, 12 очередь, 49Д</t>
  </si>
  <si>
    <t>ТОО "M-Group Asia"</t>
  </si>
  <si>
    <t>Акмолинская обл.г.Кокшетау</t>
  </si>
  <si>
    <t>МЖК Лесная поляна, 12 очередь, 48 Д</t>
  </si>
  <si>
    <t>ТОО "КОРПОРАЦИЯ "АСТАНА-СТРОЙИНВЕСТ"</t>
  </si>
  <si>
    <t>МЖК Кomfort Life</t>
  </si>
  <si>
    <t>Кол-во продлении</t>
  </si>
  <si>
    <t>МЖК Маяк</t>
  </si>
  <si>
    <t>МЖК MoD, 1-1 очередь</t>
  </si>
  <si>
    <t>МЖК MoD, 1-2 очередь</t>
  </si>
  <si>
    <t>ДПГ-23-05-012/149</t>
  </si>
  <si>
    <t>МЖК Лесная поляна, 12 очередь, 46Д</t>
  </si>
  <si>
    <t>ТОО "УПРАВЛЯЮЩАЯ КОМПАНИЯ "RESMAN"</t>
  </si>
  <si>
    <t>МЖК Monaco пятно 6</t>
  </si>
  <si>
    <t>ТОО "БК-Строй"</t>
  </si>
  <si>
    <t>ТОО "БК-Береке 13"</t>
  </si>
  <si>
    <t>МЖК Arena City 1</t>
  </si>
  <si>
    <t>ДПГ-23-01-066/152</t>
  </si>
  <si>
    <t>МЖК Asar house Plus</t>
  </si>
  <si>
    <t>ТОО "ASAR HOUSE"</t>
  </si>
  <si>
    <t>11.09.2023
Соотв.</t>
  </si>
  <si>
    <t>ДПГ-23-13-050/151</t>
  </si>
  <si>
    <t>15.09.2023
Доработка</t>
  </si>
  <si>
    <t xml:space="preserve">14.09.2023
Доработка </t>
  </si>
  <si>
    <t xml:space="preserve">12.09.2023
Доработка </t>
  </si>
  <si>
    <t>ТОО "New City1-2"</t>
  </si>
  <si>
    <t>ТОО "ЖК ГАЛАМАТ"</t>
  </si>
  <si>
    <t>ТОО "Crystal Oskemen"</t>
  </si>
  <si>
    <t>ТОО "MDI CONSTRUCTION"</t>
  </si>
  <si>
    <t>ТОО "Euro City-2"</t>
  </si>
  <si>
    <t>Жусанова Т.</t>
  </si>
  <si>
    <t>25.09.2023
Соотв.</t>
  </si>
  <si>
    <t>26.09.2023
Полож.</t>
  </si>
  <si>
    <t>27.09.2023
Отказ</t>
  </si>
  <si>
    <t>ТОО "BUILDINGPLUS"</t>
  </si>
  <si>
    <t>ТОО "SOVICO GROUP"</t>
  </si>
  <si>
    <t>Алматинская обл. п.Боралдай</t>
  </si>
  <si>
    <t>Кол-во модерации</t>
  </si>
  <si>
    <t>27.09.2023
Отриц.</t>
  </si>
  <si>
    <t>ТОО "Otbasy Satu"</t>
  </si>
  <si>
    <t>МЖК Гранд Виктория 2</t>
  </si>
  <si>
    <t>Наружные инженерные сети
МЖК Aisar</t>
  </si>
  <si>
    <t>13.09.2023
Полож.</t>
  </si>
  <si>
    <t>ДПГ-23-16-068/155</t>
  </si>
  <si>
    <t>В разрезе по годам по завершенным проектам</t>
  </si>
  <si>
    <t>кол-во квартир по факту</t>
  </si>
  <si>
    <t>МЖК Аккент блоки 1-13</t>
  </si>
  <si>
    <t>Итого в разрезе по годам</t>
  </si>
  <si>
    <r>
      <t xml:space="preserve">площадь по Проекту </t>
    </r>
    <r>
      <rPr>
        <b/>
        <i/>
        <u/>
        <sz val="15"/>
        <color theme="1"/>
        <rFont val="Times New Roman"/>
        <family val="1"/>
        <charset val="204"/>
      </rPr>
      <t>с учетом снижения</t>
    </r>
  </si>
  <si>
    <r>
      <t xml:space="preserve">площадь по Проекту </t>
    </r>
    <r>
      <rPr>
        <b/>
        <i/>
        <sz val="15"/>
        <color rgb="FFFF0000"/>
        <rFont val="Times New Roman"/>
        <family val="1"/>
        <charset val="204"/>
      </rPr>
      <t>без учета снижения</t>
    </r>
  </si>
  <si>
    <r>
      <t>кол-во квартир по факту с</t>
    </r>
    <r>
      <rPr>
        <b/>
        <i/>
        <u/>
        <sz val="15"/>
        <color theme="1"/>
        <rFont val="Times New Roman"/>
        <family val="1"/>
        <charset val="204"/>
      </rPr>
      <t xml:space="preserve"> учетом снижения</t>
    </r>
  </si>
  <si>
    <r>
      <t xml:space="preserve">кол-во квартир по факту </t>
    </r>
    <r>
      <rPr>
        <b/>
        <i/>
        <u/>
        <sz val="15"/>
        <color rgb="FFFF0000"/>
        <rFont val="Times New Roman"/>
        <family val="1"/>
        <charset val="204"/>
      </rPr>
      <t>без учета снижения</t>
    </r>
  </si>
  <si>
    <t>стоимость проекта</t>
  </si>
  <si>
    <t>ВСЕГО кол-во</t>
  </si>
  <si>
    <t>ДПГ-23-03-034/154</t>
  </si>
  <si>
    <t>ТОО "NEW LINE PROJECT"</t>
  </si>
  <si>
    <t>МЖК Бағыстан 1, 5 оч.позиция 2,4</t>
  </si>
  <si>
    <t>ДПГ-23-10-048/157</t>
  </si>
  <si>
    <t>Гарантийный случай</t>
  </si>
  <si>
    <t>ДПГ-23-17-046/156</t>
  </si>
  <si>
    <t>Консервация</t>
  </si>
  <si>
    <t>кол-во квартир согласно ПСД</t>
  </si>
  <si>
    <r>
      <t>кол-во квартир согласно ПСД</t>
    </r>
    <r>
      <rPr>
        <b/>
        <i/>
        <u/>
        <sz val="15"/>
        <color theme="1"/>
        <rFont val="Times New Roman"/>
        <family val="1"/>
        <charset val="204"/>
      </rPr>
      <t>с учетом снижения</t>
    </r>
  </si>
  <si>
    <t>МЖК дом №13 в мкр. Береке</t>
  </si>
  <si>
    <r>
      <t xml:space="preserve">кол-во квартир согласно ПСД </t>
    </r>
    <r>
      <rPr>
        <b/>
        <i/>
        <u/>
        <sz val="15"/>
        <color rgb="FFFF0000"/>
        <rFont val="Times New Roman"/>
        <family val="1"/>
        <charset val="204"/>
      </rPr>
      <t>без учета снижения</t>
    </r>
  </si>
  <si>
    <t>БИН Застройщика</t>
  </si>
  <si>
    <t>БИН Уполномоченной компании</t>
  </si>
  <si>
    <t>160340010168</t>
  </si>
  <si>
    <t>110540015593</t>
  </si>
  <si>
    <t>110640012592</t>
  </si>
  <si>
    <t>130740010573</t>
  </si>
  <si>
    <t>210840011146</t>
  </si>
  <si>
    <t>210740017161</t>
  </si>
  <si>
    <t>060340004172</t>
  </si>
  <si>
    <t>210940020852</t>
  </si>
  <si>
    <t>070240017648</t>
  </si>
  <si>
    <t>210740017974</t>
  </si>
  <si>
    <t>070740007004</t>
  </si>
  <si>
    <t>180540002396</t>
  </si>
  <si>
    <t>121240010070</t>
  </si>
  <si>
    <t>100740015241</t>
  </si>
  <si>
    <t>060240025805</t>
  </si>
  <si>
    <t>220540001566</t>
  </si>
  <si>
    <t>221140027032</t>
  </si>
  <si>
    <t>060740001628</t>
  </si>
  <si>
    <t>170440014681</t>
  </si>
  <si>
    <t>050640012251</t>
  </si>
  <si>
    <t>031240005283</t>
  </si>
  <si>
    <t>000740002447</t>
  </si>
  <si>
    <t>190440002700</t>
  </si>
  <si>
    <t>010340004024</t>
  </si>
  <si>
    <t>070240022179</t>
  </si>
  <si>
    <t>111140016064</t>
  </si>
  <si>
    <t>211040012059</t>
  </si>
  <si>
    <t>210940016011</t>
  </si>
  <si>
    <t>031040001233</t>
  </si>
  <si>
    <t>230740040893</t>
  </si>
  <si>
    <t>220240012372</t>
  </si>
  <si>
    <t>230340036850</t>
  </si>
  <si>
    <t>091040005188</t>
  </si>
  <si>
    <t>171240023488</t>
  </si>
  <si>
    <t>161140023096</t>
  </si>
  <si>
    <t xml:space="preserve">МЖК Байтерек </t>
  </si>
  <si>
    <t>ТОО "Уркер Строй"</t>
  </si>
  <si>
    <t>МЖК Престиж 3</t>
  </si>
  <si>
    <t>МЖК Modern City 2</t>
  </si>
  <si>
    <t>ДПГ-23-01-069/158</t>
  </si>
  <si>
    <t>МЖК Гранд Виктория</t>
  </si>
  <si>
    <r>
      <rPr>
        <b/>
        <sz val="12"/>
        <color rgb="FFFF0000"/>
        <rFont val="Times New Roman"/>
        <family val="1"/>
        <charset val="204"/>
      </rPr>
      <t>Наружные инженерные сети</t>
    </r>
    <r>
      <rPr>
        <b/>
        <sz val="12"/>
        <rFont val="Times New Roman"/>
        <family val="1"/>
        <charset val="204"/>
      </rPr>
      <t xml:space="preserve">
МЖК Aisar</t>
    </r>
  </si>
  <si>
    <t>7,9,12,15,17</t>
  </si>
  <si>
    <t>230240002119</t>
  </si>
  <si>
    <t>180240031389</t>
  </si>
  <si>
    <t>доп.согл.№ 8 к 
ДПГ-21-01-001/054 от 30.03.2021</t>
  </si>
  <si>
    <t>ТОО "PRESTIGE INVEST"</t>
  </si>
  <si>
    <t>ПО РАСТОРГНУТЫМ ПРОЕКТАМ</t>
  </si>
  <si>
    <t>9,12,14,16</t>
  </si>
  <si>
    <t>190440041424</t>
  </si>
  <si>
    <t>180240017561</t>
  </si>
  <si>
    <t>ДПГ-23-17-050/159</t>
  </si>
  <si>
    <t>ДПГ-23-01-069/160</t>
  </si>
  <si>
    <t xml:space="preserve">ТОО "Exclusive Star" </t>
  </si>
  <si>
    <t>ТОО "EXCLUSIVE KURMANGAZY"</t>
  </si>
  <si>
    <t>ТОО "КАСПИЙ-ЭКСПО"</t>
  </si>
  <si>
    <t>201140025012</t>
  </si>
  <si>
    <t xml:space="preserve">Уринбасарова М. </t>
  </si>
  <si>
    <t>ТОО "Senim NC"</t>
  </si>
  <si>
    <t>2024 год</t>
  </si>
  <si>
    <t>ДПГ-24-01-001/162</t>
  </si>
  <si>
    <t>МЖК NOHO</t>
  </si>
  <si>
    <t>МЖК Salzburg, блок 3</t>
  </si>
  <si>
    <t>МЖК Salzburg, блок 4</t>
  </si>
  <si>
    <t>площадь по Проектам с учетом снижения</t>
  </si>
  <si>
    <r>
      <t xml:space="preserve">кол-во квартир по факту </t>
    </r>
    <r>
      <rPr>
        <b/>
        <i/>
        <sz val="15"/>
        <color rgb="FFFF0000"/>
        <rFont val="Times New Roman"/>
        <family val="1"/>
        <charset val="204"/>
      </rPr>
      <t>без учета снижения</t>
    </r>
  </si>
  <si>
    <t>030840007596</t>
  </si>
  <si>
    <t>220340033735</t>
  </si>
  <si>
    <t>ДПГ-23-01-001/161</t>
  </si>
  <si>
    <t xml:space="preserve">ТОО "Bereke Development Group" </t>
  </si>
  <si>
    <t>МЖК MoD, 1-3 очередь</t>
  </si>
  <si>
    <t>доп.согл. №4 к ДПГ-22-13-004/106 от 11.02.2022</t>
  </si>
  <si>
    <t>г.Шымкент</t>
  </si>
  <si>
    <t>ЖК Мангилик парк</t>
  </si>
  <si>
    <t>ТОО "ТҰРАН ҚҰРЫЛЫС НС"</t>
  </si>
  <si>
    <t>ТОО "EL INVEST"</t>
  </si>
  <si>
    <t>МЖК Мегаполис</t>
  </si>
  <si>
    <t xml:space="preserve"> </t>
  </si>
  <si>
    <t>07.12.2023        отриц.</t>
  </si>
  <si>
    <t xml:space="preserve">07.12.2023    отриц.    </t>
  </si>
  <si>
    <t>08.12.2023      соответ.</t>
  </si>
  <si>
    <t>06.12.2023  соответ.</t>
  </si>
  <si>
    <t>08.12.2023            отриц.</t>
  </si>
  <si>
    <t>13.12.2023  отриц.</t>
  </si>
  <si>
    <t xml:space="preserve">22.12.2023  отриц. </t>
  </si>
  <si>
    <t xml:space="preserve">25.12.2023   отриц. </t>
  </si>
  <si>
    <t xml:space="preserve">26.12.2023   соответ. </t>
  </si>
  <si>
    <t xml:space="preserve">22.12.2023   сооответ. </t>
  </si>
  <si>
    <t xml:space="preserve">25.12.2023  полож. </t>
  </si>
  <si>
    <t xml:space="preserve">26.12.2023   отриц. </t>
  </si>
  <si>
    <t xml:space="preserve">МЖК Престиж, Жас Канат </t>
  </si>
  <si>
    <t>МЖК Аккент, 90/1, пятна 1-8 (блоки 1-5)</t>
  </si>
  <si>
    <t>МЖК Аккент, 90/1, пятна 1-8 (блоки, 6-10, паркинг)</t>
  </si>
  <si>
    <t>МЖК Престиж 3 (дома 5, 6)</t>
  </si>
  <si>
    <t>080240012629</t>
  </si>
  <si>
    <t>080840016029</t>
  </si>
  <si>
    <t>120540000160</t>
  </si>
  <si>
    <t>МЖК Атамура, 2 очередь</t>
  </si>
  <si>
    <t>9, 17</t>
  </si>
  <si>
    <t xml:space="preserve">Наличие "Зеленого сертификатв" </t>
  </si>
  <si>
    <t>МЖК Cемья, 1 очередь</t>
  </si>
  <si>
    <t>МЖК Cемья, 2 очередь</t>
  </si>
  <si>
    <t>МЖК Аккент блоки 1-13 (дом 62)</t>
  </si>
  <si>
    <t>МЖК Аккент блоки 1-13 (дом 63-65)</t>
  </si>
  <si>
    <t>МЖК Аккент блоки 1-13 (дом 66-71)</t>
  </si>
  <si>
    <t>ТОО "STROY OPT"</t>
  </si>
  <si>
    <t>ТОО "DAULETTI QALASHYQ"</t>
  </si>
  <si>
    <t>ЖК Даулетті қалашық</t>
  </si>
  <si>
    <t>ТОО "БК-Береке 18"</t>
  </si>
  <si>
    <t xml:space="preserve">МЖК Landmark, 4 очередь, пятна 1, 2, 3, 4  </t>
  </si>
  <si>
    <t>МЖК SPARKLE DIAMOND</t>
  </si>
  <si>
    <t xml:space="preserve">да </t>
  </si>
  <si>
    <t>220140016321</t>
  </si>
  <si>
    <t>ТОО "I BIGMA KZ"</t>
  </si>
  <si>
    <t>МЖК Береке-2, дом 17</t>
  </si>
  <si>
    <t xml:space="preserve">ТОО "БК-Береке 17" </t>
  </si>
  <si>
    <t>ДПГ-24-06-070/164</t>
  </si>
  <si>
    <t xml:space="preserve">16.03.2024
Акт на регистрации </t>
  </si>
  <si>
    <t>9,12,14,18</t>
  </si>
  <si>
    <t>ДПГ-24-01-044/166</t>
  </si>
  <si>
    <t>ДПГ-24-17-046/165</t>
  </si>
  <si>
    <t>ДС №4 от 20.03.24г к ДПГ-22-01-024/116 от 11.08.22г</t>
  </si>
  <si>
    <t>кол-во квартир по Проекту (после ввода*)</t>
  </si>
  <si>
    <t>г.Караганда</t>
  </si>
  <si>
    <t>МЖК RAAF</t>
  </si>
  <si>
    <t>ДС 9 от 11.04.2024г к ДПГ-20-01-001/037 от28.02.20г</t>
  </si>
  <si>
    <t>ДПГ-24-02-071/167 от 12.04.2024г</t>
  </si>
  <si>
    <r>
      <t xml:space="preserve">площадь по Проектам </t>
    </r>
    <r>
      <rPr>
        <b/>
        <i/>
        <sz val="15"/>
        <color rgb="FFFF0000"/>
        <rFont val="Times New Roman"/>
        <family val="1"/>
        <charset val="204"/>
      </rPr>
      <t>без учета снижения</t>
    </r>
  </si>
  <si>
    <t>050640009251</t>
  </si>
  <si>
    <t>181140022389</t>
  </si>
  <si>
    <t>240240014520</t>
  </si>
  <si>
    <t>160140004651</t>
  </si>
  <si>
    <t>МЖК Салем</t>
  </si>
  <si>
    <t>ТОО "УК "Алма Тау 2021"</t>
  </si>
  <si>
    <t>ТОО "ЖК Жер-Ана"</t>
  </si>
  <si>
    <t xml:space="preserve">ТОО "Astana Real Estate 2017"  </t>
  </si>
  <si>
    <t>ТОО "Astana Real Estate 2017"</t>
  </si>
  <si>
    <t>ДПГ-21-02-020/085</t>
  </si>
  <si>
    <t xml:space="preserve">ДПГ-21-02-020/085 от 30.09.2021
доп.согл. №1 от 25.11.2021 к </t>
  </si>
  <si>
    <t xml:space="preserve">ТОО "Елимай-Invest" </t>
  </si>
  <si>
    <t>ТОО "Stroy Baiterek"</t>
  </si>
  <si>
    <t>ТОО "Мангилик Ел Курылыс"</t>
  </si>
  <si>
    <t>ДПГ-24-07-006/163</t>
  </si>
  <si>
    <t>ДПГ-24-10-048|170</t>
  </si>
  <si>
    <t>ДПГ-24-10-048/171</t>
  </si>
  <si>
    <t>В разрезе регионов по действующим проектам</t>
  </si>
  <si>
    <t>В разрезе регионам по действующим и завершенным проектам</t>
  </si>
  <si>
    <t xml:space="preserve">кол-во квартир по факту </t>
  </si>
  <si>
    <t>доп.согл.№ 2 к ДПГ-22-01-054/117 от 10.08.2022</t>
  </si>
  <si>
    <t>доп.согл.№ 7 к ДПГ-21-01-001/058 от 09.04.21</t>
  </si>
  <si>
    <t>доп.согл №1 к ДПГ-23-03-049/148 от 18.08.23г.</t>
  </si>
  <si>
    <t>доп.согл.№2 к ДПГ-23-03-049/148 от 18.08.2023</t>
  </si>
  <si>
    <t xml:space="preserve"> до 19.03.2025 консервация проекта</t>
  </si>
  <si>
    <t>МЖК Otbasy 2 очередь</t>
  </si>
  <si>
    <t>МЖК Otbasy 1 очередь</t>
  </si>
  <si>
    <t>ДПГ-24-01-023/165</t>
  </si>
  <si>
    <t>ДПГ-24-01-049/169</t>
  </si>
  <si>
    <t>180840024962</t>
  </si>
  <si>
    <t>ТОО "PARASAT II"</t>
  </si>
  <si>
    <t>на подписании</t>
  </si>
  <si>
    <t>ЧС</t>
  </si>
  <si>
    <r>
      <t>28.05.2024/</t>
    </r>
    <r>
      <rPr>
        <sz val="12"/>
        <color rgb="FFFF0000"/>
        <rFont val="Times New Roman"/>
        <family val="1"/>
        <charset val="204"/>
      </rPr>
      <t xml:space="preserve"> продлен по ЧС до 12.07.2024</t>
    </r>
  </si>
  <si>
    <t>действующие</t>
  </si>
  <si>
    <t>завершенные</t>
  </si>
  <si>
    <t>ДС №2 к ДПГ-23-17-050-159 от 28.12.2023</t>
  </si>
  <si>
    <t>продлен по ЧС до 19.07.2024</t>
  </si>
  <si>
    <t>Алия +, Лайф таун +</t>
  </si>
  <si>
    <t>Данные для Жилищного портала</t>
  </si>
  <si>
    <t>минус 1 Saltzburg</t>
  </si>
  <si>
    <t>Проекты на рассмотрении</t>
  </si>
  <si>
    <t>4 р.д.</t>
  </si>
  <si>
    <t>5 р.д.</t>
  </si>
  <si>
    <t>3 р.д.</t>
  </si>
  <si>
    <t>планируем</t>
  </si>
  <si>
    <t>БИН УК</t>
  </si>
  <si>
    <t>Площадь</t>
  </si>
  <si>
    <t xml:space="preserve">Время  регистрации заявки </t>
  </si>
  <si>
    <t>АПП</t>
  </si>
  <si>
    <t>ПРАВЛЕНИЕ</t>
  </si>
  <si>
    <t>Текущий статус</t>
  </si>
  <si>
    <t xml:space="preserve">в SB дата завершения </t>
  </si>
  <si>
    <t>по расчету</t>
  </si>
  <si>
    <t>1 этап</t>
  </si>
  <si>
    <t>2 этап</t>
  </si>
  <si>
    <t>выходные</t>
  </si>
  <si>
    <t>ЖилПортал</t>
  </si>
  <si>
    <t>МЖК Qasiet</t>
  </si>
  <si>
    <t xml:space="preserve">ТОО "SENSAТA URBAN DEVELOPMENТ" </t>
  </si>
  <si>
    <t>201240028378</t>
  </si>
  <si>
    <t>ЖК "Asar house" 3 очередь</t>
  </si>
  <si>
    <t>ТОО "КОМПОЗИТ-7"</t>
  </si>
  <si>
    <t xml:space="preserve">ТОО "Asar house" </t>
  </si>
  <si>
    <t>210740014236</t>
  </si>
  <si>
    <t>ЖК Сыр Самалы</t>
  </si>
  <si>
    <t>г. Кызылорда</t>
  </si>
  <si>
    <t>ТОО "Алтын Констракшн"</t>
  </si>
  <si>
    <t>070340014459</t>
  </si>
  <si>
    <t>ТОО "ЖК Сыр Самалы"</t>
  </si>
  <si>
    <t>120240004412</t>
  </si>
  <si>
    <t>Проекты на модерации</t>
  </si>
  <si>
    <t>Направление замечаний/на регистрацию</t>
  </si>
  <si>
    <t>Регистрация после доработки</t>
  </si>
  <si>
    <t>Карагандинская область</t>
  </si>
  <si>
    <t>Зашли с новой заявкой</t>
  </si>
  <si>
    <t>МЖК Hayat Apartments</t>
  </si>
  <si>
    <t>ТОО «HCG-05»</t>
  </si>
  <si>
    <t>ТОО «ТУР-ХАН»</t>
  </si>
  <si>
    <t>Исправление замечаний</t>
  </si>
  <si>
    <t>МЖК в мкр.Батыс-2, г.Актобе</t>
  </si>
  <si>
    <t>Актюбинская область</t>
  </si>
  <si>
    <t>ТОО "Новострой-Актобе"</t>
  </si>
  <si>
    <t>МЖК Garden City</t>
  </si>
  <si>
    <t>Алматинская область, г. Конаев</t>
  </si>
  <si>
    <t>ТОО "Центральноазиатский Научно-Исследовательский и Проектный институт "Транс Нефть"</t>
  </si>
  <si>
    <t>ТОО "АТС-06"</t>
  </si>
  <si>
    <t>Акмолинская область</t>
  </si>
  <si>
    <t>ЖК Capital</t>
  </si>
  <si>
    <t>ТОО "СAPITAL AVENUE"</t>
  </si>
  <si>
    <t xml:space="preserve">МЖК Маяк в г. Конаев </t>
  </si>
  <si>
    <t>ТОО "Корпорация "Астана-Стройинвест"</t>
  </si>
  <si>
    <t>ТОО "MDI Construction"</t>
  </si>
  <si>
    <t>Жусанова Толкын</t>
  </si>
  <si>
    <t>Усть-Каменогорск</t>
  </si>
  <si>
    <t>Алматинская область</t>
  </si>
  <si>
    <t>ЖК "Capital"</t>
  </si>
  <si>
    <t xml:space="preserve">МЖК </t>
  </si>
  <si>
    <t>ТОО "ВВД Курылыс"</t>
  </si>
  <si>
    <t>МЖК New City</t>
  </si>
  <si>
    <t xml:space="preserve">МЖК в г.Кокшетау </t>
  </si>
  <si>
    <t>ТОО "Сартай энерго Сервис"</t>
  </si>
  <si>
    <t>ТОО "А2 Invest"</t>
  </si>
  <si>
    <t>МЖК</t>
  </si>
  <si>
    <t>ТОО  "Марапат 2011"</t>
  </si>
  <si>
    <t>МЖК Asar House Plus</t>
  </si>
  <si>
    <t>МЖК Австрия, блок 3</t>
  </si>
  <si>
    <t>Аяпова Г./Алимжанова Д.</t>
  </si>
  <si>
    <t>МЖК Австрия, блок 4</t>
  </si>
  <si>
    <t>Жусанова Т./ Жакыпбеков А.</t>
  </si>
  <si>
    <t>МЖК Багыстан, 1 очередь</t>
  </si>
  <si>
    <t xml:space="preserve">МЖК Soho </t>
  </si>
  <si>
    <t>МЖК Otbasy</t>
  </si>
  <si>
    <t>МЖК Adele</t>
  </si>
  <si>
    <t>ТОО "ЖК Adele"</t>
  </si>
  <si>
    <t>Уральск</t>
  </si>
  <si>
    <t>МЖК Star</t>
  </si>
  <si>
    <t>МЖК в г.Атырау, мкр. Шагала</t>
  </si>
  <si>
    <t>Атырау</t>
  </si>
  <si>
    <t>ТОО "BIGMA KZ"</t>
  </si>
  <si>
    <t xml:space="preserve">Заявка зарегестрирована </t>
  </si>
  <si>
    <t xml:space="preserve">ЖК Максима </t>
  </si>
  <si>
    <t>ТОО "Maxima City"</t>
  </si>
  <si>
    <t>ЖК Комфортный Дом в Жилом городе 3</t>
  </si>
  <si>
    <t>г. Караганда</t>
  </si>
  <si>
    <t>ТОО "Eurasia Building 1"</t>
  </si>
  <si>
    <t>ЖК Otbasy 2 очередь</t>
  </si>
  <si>
    <t>МЖК "PARASAT II" пятно 10,11</t>
  </si>
  <si>
    <t>ТОО "SENSATA CONSTRUCTION"</t>
  </si>
  <si>
    <t>041040007551</t>
  </si>
  <si>
    <t>ЖК Maxima City</t>
  </si>
  <si>
    <t>030940000344</t>
  </si>
  <si>
    <t>Смайлова Д.</t>
  </si>
  <si>
    <t>ТОО "Sensata Build"</t>
  </si>
  <si>
    <t>201240024454</t>
  </si>
  <si>
    <t>МЖК Salzburg, блок 1,2,5</t>
  </si>
  <si>
    <t>Жакыпбеков А</t>
  </si>
  <si>
    <t xml:space="preserve">Проекты, по которым отозвана Заявка до решения Правления </t>
  </si>
  <si>
    <t xml:space="preserve">уполномоченная компания </t>
  </si>
  <si>
    <t>ДСГиС</t>
  </si>
  <si>
    <t xml:space="preserve"> ТОО "ТОО "VK Diamond"</t>
  </si>
  <si>
    <t xml:space="preserve">Кабашев Куат </t>
  </si>
  <si>
    <t>заключение пред-но</t>
  </si>
  <si>
    <t>Заявка отозвана вх.письмом в SimBase, произведен возврат комиссии 05.07.2022, в Dijital Baiterek заявка еще не отозвана</t>
  </si>
  <si>
    <t>нет ПСД</t>
  </si>
  <si>
    <t xml:space="preserve">Уринбасарова Молдир </t>
  </si>
  <si>
    <t>Заявка отозвана в Dijital Baiterek от 13.07.2022 г., письмо о возврате комиссии от 14.07.2022  в SimBase</t>
  </si>
  <si>
    <t>МЖК в г.Астана (пер. пр.Кабанбай батыра и ул.Т.Рыскулова)</t>
  </si>
  <si>
    <t>Асатана</t>
  </si>
  <si>
    <t xml:space="preserve">Курманбаева Айгерим </t>
  </si>
  <si>
    <t>SimBase 29.07.2022 заявка приостановлена инициатором в связи с неполадаками в SimBase</t>
  </si>
  <si>
    <t>ТОО "КОМПАНИЯ СЕВ-РЕГИОН СТРОЙ"</t>
  </si>
  <si>
    <t>ТОО "КУТТЫ МЕКЕН 2022"</t>
  </si>
  <si>
    <t>Заявка отозвана в Dijital Baiterek от 25.07.2022 г., письмо о возврате комиссии от 26.07.2022  в SimBase</t>
  </si>
  <si>
    <t>ТОО " ALEM GROUP KAZAKHSTAN"</t>
  </si>
  <si>
    <t xml:space="preserve">Жаныбек Айман </t>
  </si>
  <si>
    <t xml:space="preserve">Заявка приостановлена </t>
  </si>
  <si>
    <t>МЖК  «ECO-PARK ALATAU» первая очередь Пятно 3, 4</t>
  </si>
  <si>
    <t>16.08.2022
Полож.</t>
  </si>
  <si>
    <t>16.08.2022
Отриц.</t>
  </si>
  <si>
    <t>15.08.2022
Отриц.</t>
  </si>
  <si>
    <t xml:space="preserve"> ТОО "ER-DAM INVESTMENT GROUP"</t>
  </si>
  <si>
    <t xml:space="preserve">Исмаков Адиль </t>
  </si>
  <si>
    <t>15.08.2022
Полож.</t>
  </si>
  <si>
    <t xml:space="preserve">16.08.2022
Отриц. </t>
  </si>
  <si>
    <t>23.08.2022
Отриц.</t>
  </si>
  <si>
    <t xml:space="preserve">Заявка отозвана </t>
  </si>
  <si>
    <t>МЖК "Жана Арка"</t>
  </si>
  <si>
    <t xml:space="preserve"> ТОО BBS GOLD"</t>
  </si>
  <si>
    <t>12.08.2022
Отриц.</t>
  </si>
  <si>
    <t>19.08.2022
Отриц.</t>
  </si>
  <si>
    <t>05.09.2022
Отриц.</t>
  </si>
  <si>
    <t>04.09.2022
Полож.</t>
  </si>
  <si>
    <t>05.09.2022
Полож.</t>
  </si>
  <si>
    <t xml:space="preserve">05.09.2022
Отриц. </t>
  </si>
  <si>
    <t xml:space="preserve"> ТОО "OTYRAR SATU"</t>
  </si>
  <si>
    <t>18.08.2022
Отриц.</t>
  </si>
  <si>
    <t xml:space="preserve">17.08.2022
Отриц. </t>
  </si>
  <si>
    <t>07.09.2022
Отказ</t>
  </si>
  <si>
    <t xml:space="preserve"> ТОО "NC 22"</t>
  </si>
  <si>
    <t>Далматова Данира</t>
  </si>
  <si>
    <t xml:space="preserve"> ТОО "JK Sun City"</t>
  </si>
  <si>
    <t>04.10.2022
Полож.</t>
  </si>
  <si>
    <t>03.10.2022
Отриц.</t>
  </si>
  <si>
    <t>05.10.2022
Полож.</t>
  </si>
  <si>
    <t>21.10.2022
Отриц.</t>
  </si>
  <si>
    <t>21.10.2022
Соотв.</t>
  </si>
  <si>
    <t>22.10.2022
Полож.</t>
  </si>
  <si>
    <t>Заявка отозвана 28.10.2022</t>
  </si>
  <si>
    <r>
      <rPr>
        <b/>
        <sz val="12"/>
        <color rgb="FFFF0000"/>
        <rFont val="Times New Roman"/>
        <family val="1"/>
        <charset val="204"/>
      </rPr>
      <t>Наружные инженерные сети</t>
    </r>
    <r>
      <rPr>
        <b/>
        <sz val="12"/>
        <rFont val="Times New Roman"/>
        <family val="1"/>
        <charset val="204"/>
      </rPr>
      <t xml:space="preserve">
МЖК Бағыстан позиция №12</t>
    </r>
  </si>
  <si>
    <t xml:space="preserve">21.07.2023
Полож. </t>
  </si>
  <si>
    <t>17.07.2023
Полож.</t>
  </si>
  <si>
    <t xml:space="preserve">18.07.2023
Доработка </t>
  </si>
  <si>
    <t xml:space="preserve">20.07.2023
Доработка </t>
  </si>
  <si>
    <t>Отзыв Заявки от 03.08.2023г.</t>
  </si>
  <si>
    <t>ЖК Центральный сквер, 4 очередь</t>
  </si>
  <si>
    <t>9, 12, 16</t>
  </si>
  <si>
    <t>ТОО "SENSAТA CONSТRUCТION"</t>
  </si>
  <si>
    <t>201140026308</t>
  </si>
  <si>
    <t>110440011339</t>
  </si>
  <si>
    <t>ТОО "Comfort Solution"</t>
  </si>
  <si>
    <t>960340000376</t>
  </si>
  <si>
    <t>040440036894</t>
  </si>
  <si>
    <t>170840003753</t>
  </si>
  <si>
    <t>970540007997</t>
  </si>
  <si>
    <t>131240018048</t>
  </si>
  <si>
    <t>140740007872</t>
  </si>
  <si>
    <t>160640016168</t>
  </si>
  <si>
    <t>060240014641</t>
  </si>
  <si>
    <t>000840000908</t>
  </si>
  <si>
    <t>981040003722</t>
  </si>
  <si>
    <t>120340006886</t>
  </si>
  <si>
    <t>210640010894</t>
  </si>
  <si>
    <t>ТОО "Sensata Urban Development"</t>
  </si>
  <si>
    <t>ЖК Qasiet</t>
  </si>
  <si>
    <t>221140027082</t>
  </si>
  <si>
    <t>230240000142</t>
  </si>
  <si>
    <t>140340019900</t>
  </si>
  <si>
    <t>170940003812</t>
  </si>
  <si>
    <t>190240034484</t>
  </si>
  <si>
    <t>190140008530</t>
  </si>
  <si>
    <t>200440003119</t>
  </si>
  <si>
    <t>220840003751</t>
  </si>
  <si>
    <t>060240000126</t>
  </si>
  <si>
    <t>220840053986</t>
  </si>
  <si>
    <t>210940041270</t>
  </si>
  <si>
    <t>050940003194</t>
  </si>
  <si>
    <t xml:space="preserve">Акмолинская область, г. Косшы </t>
  </si>
  <si>
    <t>Акмолинская область, г.Кокшетау</t>
  </si>
  <si>
    <t>МЖК Elorda residensе (пятно 1)</t>
  </si>
  <si>
    <t>МЖК Elorda residensе (пятно 4</t>
  </si>
  <si>
    <t>МЖК Elorda residensе (пятно 2)</t>
  </si>
  <si>
    <t>МЖК Английский квартал, г.Атырау</t>
  </si>
  <si>
    <t>27.06.2024
Акт на регистрации</t>
  </si>
  <si>
    <t xml:space="preserve">17.05.2024/ продлен по ЧС до 28.06.2024 </t>
  </si>
  <si>
    <t>03.07.2024/ продлен по ЧС 31.07.2024г</t>
  </si>
  <si>
    <t>МЖК Landmark, 3 очередь, пятно 2</t>
  </si>
  <si>
    <t>МЖК "Energy, 1,2,3,4 очередь"</t>
  </si>
  <si>
    <t>ТОО "Султан барыс"</t>
  </si>
  <si>
    <t>ТОО "Сарыарка Инвест Строй"</t>
  </si>
  <si>
    <t>Жусанова Т.А.</t>
  </si>
  <si>
    <t>150240018980</t>
  </si>
  <si>
    <t>140940009023</t>
  </si>
  <si>
    <t>09.12.2020 г. – блок 3 (секции 7,8,9);
19.08.2020 г. – блок 4 (паркинг)</t>
  </si>
  <si>
    <t>ДС №3 от 15.01.24г к ДПГ-22-13-058/124 от 01.11.22г</t>
  </si>
  <si>
    <t>ДС №1 к ДПГ-23-02-064/147 от 20.07.2023г.</t>
  </si>
  <si>
    <t>ДС №1 к ДПГ-23-16-068/155 от 11.10.2023г.</t>
  </si>
  <si>
    <t>ДС №2 к ДПГ-23-16-068/155 от 11.10.2023г.</t>
  </si>
  <si>
    <t>8, 10</t>
  </si>
  <si>
    <t>110940007041</t>
  </si>
  <si>
    <t xml:space="preserve"> 140340019900</t>
  </si>
  <si>
    <t>080740001641</t>
  </si>
  <si>
    <t>12.07.2024                      Акт на регистрации</t>
  </si>
  <si>
    <t>1, 9</t>
  </si>
  <si>
    <t>МЖК Asar house, 3 очередь</t>
  </si>
  <si>
    <t>МЖК в мкр.Береке №18</t>
  </si>
  <si>
    <t>МЖК Туран Сату</t>
  </si>
  <si>
    <t>ДС №1 к ДПГ-24-01-044/166 от 28.03.2024г.</t>
  </si>
  <si>
    <t>Площадь квартир, кв.м по Проекту</t>
  </si>
  <si>
    <t>МЖК "PARASAT II, 1 очередь (п.1-6)"</t>
  </si>
  <si>
    <t>МЖК New City 1-2 (МЖК Ferrum City)</t>
  </si>
  <si>
    <t xml:space="preserve">МЖК  Жаным, 1 пусковой комплекс (МЖК V Club) </t>
  </si>
  <si>
    <t>МЖК Bilim</t>
  </si>
  <si>
    <t>МЖК "PARASAT II", 2 очередь (п.10,11)</t>
  </si>
  <si>
    <t>ТОО "Qazaq Gimarat"</t>
  </si>
  <si>
    <t>100240012645</t>
  </si>
  <si>
    <t>МЖК "Мадениет"</t>
  </si>
  <si>
    <r>
      <t xml:space="preserve">площадь по Проектам </t>
    </r>
    <r>
      <rPr>
        <b/>
        <i/>
        <sz val="15"/>
        <color rgb="FFFF0000"/>
        <rFont val="Times New Roman"/>
        <family val="1"/>
        <charset val="204"/>
      </rPr>
      <t>(с уменьшением и расторжением)</t>
    </r>
  </si>
  <si>
    <t xml:space="preserve">площадь по Проекту </t>
  </si>
  <si>
    <r>
      <t xml:space="preserve">кол-во квартир согласно ПСД </t>
    </r>
    <r>
      <rPr>
        <b/>
        <i/>
        <u/>
        <sz val="15"/>
        <color rgb="FFFF0000"/>
        <rFont val="Times New Roman"/>
        <family val="1"/>
        <charset val="204"/>
      </rPr>
      <t>(с уменьшением и расторжением)</t>
    </r>
  </si>
  <si>
    <r>
      <t xml:space="preserve">кол-во квартир по Проектам </t>
    </r>
    <r>
      <rPr>
        <b/>
        <i/>
        <sz val="15"/>
        <color rgb="FFFF0000"/>
        <rFont val="Times New Roman"/>
        <family val="1"/>
        <charset val="204"/>
      </rPr>
      <t>(с уменьшением и расторжением)</t>
    </r>
  </si>
  <si>
    <t>кол-во квартир по Проектам (согласно ПСД)</t>
  </si>
  <si>
    <t>МЖК Даулетті қалашық, 2 очередь</t>
  </si>
  <si>
    <t>13.08.2024                                    Акт на регистрации</t>
  </si>
  <si>
    <t>ДПГ-24-01-036/172 от 26.08.2024г.</t>
  </si>
  <si>
    <t>29.02.2019</t>
  </si>
  <si>
    <t>ДС №3 к ДПГ-21-06-042-095 от 26.11.2021</t>
  </si>
  <si>
    <t>ДС №1 к ДПГ-23-05-052/133 от 14.03.23</t>
  </si>
  <si>
    <t>ДС №1 к ДПГ-23-01-008/145 от 26.06.2023</t>
  </si>
  <si>
    <t>ДС №3 к ДПГ-23-01-008/145 от 26.06.2023</t>
  </si>
  <si>
    <t>ДС №9 к ДПГ-21-01-001/054 от 30.03.2021</t>
  </si>
  <si>
    <t>ТОО "Standard construction-7"</t>
  </si>
  <si>
    <t>190140038552</t>
  </si>
  <si>
    <t>ТОО "Prime park"</t>
  </si>
  <si>
    <t>200240004050</t>
  </si>
  <si>
    <t>МЖК "Прайм Парк" 2-ой пусковой комплекс</t>
  </si>
  <si>
    <t>10.08.2024                Гарантийный случай</t>
  </si>
  <si>
    <t>доп.согл.№3 к 
ДПГ-19-01-008/015</t>
  </si>
  <si>
    <t>МЖК Мангилик парк</t>
  </si>
  <si>
    <t>МЖК Жаным 2 пусковой комплекс, 2 очередь, блок Б</t>
  </si>
  <si>
    <t>МЖК Жаным 2 пусковой комплекс, 2 очередь, блок А</t>
  </si>
  <si>
    <t>ТОО "СУЛТАН БАРЫС"</t>
  </si>
  <si>
    <t>ТОО "САРЫАРКА ИНВЕСТ СТРОЙ"</t>
  </si>
  <si>
    <t>ДПГ-24-14-046/173 от 05.09.2024г.</t>
  </si>
  <si>
    <t>ДС №1 к ДПГ -21-01-001/161 от 18.01.2024</t>
  </si>
  <si>
    <t xml:space="preserve">г. Астана </t>
  </si>
  <si>
    <t>МЖК JM CITY Дом Парк</t>
  </si>
  <si>
    <t>модерация пройдена, отработка замечаний, консультация</t>
  </si>
  <si>
    <t>Pipeline projects</t>
  </si>
  <si>
    <t>Гарантирование</t>
  </si>
  <si>
    <t>Субсидирование</t>
  </si>
  <si>
    <t>Заемщик</t>
  </si>
  <si>
    <t>Сумма кредита, тенге</t>
  </si>
  <si>
    <t>Стоимость проекта, млн.тенге</t>
  </si>
  <si>
    <t>Кожухова Д.</t>
  </si>
  <si>
    <t xml:space="preserve">ТОО «Билдинг Сервис Со» </t>
  </si>
  <si>
    <t>МЖК Прайм Парк 2-ой пусковой комплекс</t>
  </si>
  <si>
    <t>МЖК Energy 1,2,3,4 очередь</t>
  </si>
  <si>
    <t>МЖК Maxima City</t>
  </si>
  <si>
    <t>МЖК Сыр Самалы</t>
  </si>
  <si>
    <t>Абайская</t>
  </si>
  <si>
    <t>МЖК Кеменгер</t>
  </si>
  <si>
    <t>220340017367</t>
  </si>
  <si>
    <t>ТОО "Tarih CONSTRUCTION"</t>
  </si>
  <si>
    <t>28.08.2024                        акт на регистрации</t>
  </si>
  <si>
    <t>ТОО "Atamura group"</t>
  </si>
  <si>
    <t>080440009616</t>
  </si>
  <si>
    <t>ТОО "Aura Alatau"</t>
  </si>
  <si>
    <t>МЖК Aura Alatau</t>
  </si>
  <si>
    <t>230340012556</t>
  </si>
  <si>
    <t xml:space="preserve">18.09.2024                     акт на регистрации </t>
  </si>
  <si>
    <t>DWH</t>
  </si>
  <si>
    <t xml:space="preserve">Акмолинская область,
г. Косшы </t>
  </si>
  <si>
    <t>Акмолинская область, 
г. Щучинск</t>
  </si>
  <si>
    <t>Алматинская область, 
г.Конаев</t>
  </si>
  <si>
    <t>Алматинская обл.
c.Бесагаш</t>
  </si>
  <si>
    <t>Кенесов М.Г./Арыстанбекова А.И.</t>
  </si>
  <si>
    <t>Баркинхоев А.М./Алимжанова Д.К.</t>
  </si>
  <si>
    <t>Кожухова Д.Б./ Смайлова Д.Н.</t>
  </si>
  <si>
    <t>Аяпова Г.Н./Жусанова Т.А.</t>
  </si>
  <si>
    <t>Исмаков А.С./Жакыпбеков А.Д.</t>
  </si>
  <si>
    <t>Исмаков А.С.</t>
  </si>
  <si>
    <t>Баркинхоев А.М.</t>
  </si>
  <si>
    <t>Кожухова Д.Б.</t>
  </si>
  <si>
    <t>100240000106</t>
  </si>
  <si>
    <t>160340011403</t>
  </si>
  <si>
    <t>040740007732</t>
  </si>
  <si>
    <t>100740005727</t>
  </si>
  <si>
    <t>220240012421</t>
  </si>
  <si>
    <t>040340000999</t>
  </si>
  <si>
    <t>210440006727</t>
  </si>
  <si>
    <t>030840000638</t>
  </si>
  <si>
    <t>130940009587</t>
  </si>
  <si>
    <t>060540006700</t>
  </si>
  <si>
    <t>ТОО "Comfort Development KZ"</t>
  </si>
  <si>
    <t>210940032945</t>
  </si>
  <si>
    <t>961240027773</t>
  </si>
  <si>
    <t>050440002386</t>
  </si>
  <si>
    <t>940940000027</t>
  </si>
  <si>
    <t>051040013647</t>
  </si>
  <si>
    <t>170140020417</t>
  </si>
  <si>
    <t>040640007005</t>
  </si>
  <si>
    <t>050540016141</t>
  </si>
  <si>
    <t>110540008868</t>
  </si>
  <si>
    <t>901040000029</t>
  </si>
  <si>
    <t>030740000258</t>
  </si>
  <si>
    <t>021240006160</t>
  </si>
  <si>
    <t>050140015456</t>
  </si>
  <si>
    <t>110640013302</t>
  </si>
  <si>
    <t>940140001482</t>
  </si>
  <si>
    <t>060140000846</t>
  </si>
  <si>
    <t>021240005995</t>
  </si>
  <si>
    <t>071140003260</t>
  </si>
  <si>
    <t>040940003747</t>
  </si>
  <si>
    <t>080140018654</t>
  </si>
  <si>
    <t>060740002715</t>
  </si>
  <si>
    <t>ТОО "Строительство зданий и сооружений"</t>
  </si>
  <si>
    <t>080340002536</t>
  </si>
  <si>
    <t>980740001878</t>
  </si>
  <si>
    <t>021140017787</t>
  </si>
  <si>
    <t>140540020406</t>
  </si>
  <si>
    <t>210240012152</t>
  </si>
  <si>
    <t>180640022394</t>
  </si>
  <si>
    <t>190140030001</t>
  </si>
  <si>
    <t>181040031959</t>
  </si>
  <si>
    <t>181040020140</t>
  </si>
  <si>
    <t>170640002219</t>
  </si>
  <si>
    <t>141140024942</t>
  </si>
  <si>
    <t>071240012104</t>
  </si>
  <si>
    <t>191040008123</t>
  </si>
  <si>
    <t>ТОО "BERKAT-BUILDING"</t>
  </si>
  <si>
    <t>190440023486</t>
  </si>
  <si>
    <t>201240012064</t>
  </si>
  <si>
    <t>210940020654</t>
  </si>
  <si>
    <t>180840025009</t>
  </si>
  <si>
    <t>210640014956</t>
  </si>
  <si>
    <t>070340010951</t>
  </si>
  <si>
    <t>190940031752</t>
  </si>
  <si>
    <t>200440009039</t>
  </si>
  <si>
    <t>ТОО "Eco Towers"</t>
  </si>
  <si>
    <t>210740019900</t>
  </si>
  <si>
    <t>181140019271</t>
  </si>
  <si>
    <t>090940015908</t>
  </si>
  <si>
    <t>190440041434</t>
  </si>
  <si>
    <t>200940032606</t>
  </si>
  <si>
    <t>200740008567</t>
  </si>
  <si>
    <t>140140011928</t>
  </si>
  <si>
    <t>210440031067</t>
  </si>
  <si>
    <t>150840000513</t>
  </si>
  <si>
    <t>160640015734</t>
  </si>
  <si>
    <t>190140013795</t>
  </si>
  <si>
    <t>191040002530</t>
  </si>
  <si>
    <t>210140033558</t>
  </si>
  <si>
    <t>210640037707</t>
  </si>
  <si>
    <t>210440020458</t>
  </si>
  <si>
    <t>190340029392</t>
  </si>
  <si>
    <t>200340025601</t>
  </si>
  <si>
    <t>210440026348</t>
  </si>
  <si>
    <t>181240011486</t>
  </si>
  <si>
    <t>210140037639</t>
  </si>
  <si>
    <t>210240006722</t>
  </si>
  <si>
    <t>210340007942</t>
  </si>
  <si>
    <t>ТОО "NC Invest"</t>
  </si>
  <si>
    <t>190840001896</t>
  </si>
  <si>
    <t>200240008390</t>
  </si>
  <si>
    <t>210940021028</t>
  </si>
  <si>
    <t>180440012489</t>
  </si>
  <si>
    <t>201040021501</t>
  </si>
  <si>
    <t>190540004631</t>
  </si>
  <si>
    <t>191040024998</t>
  </si>
  <si>
    <t>200840018141</t>
  </si>
  <si>
    <t>170740034528</t>
  </si>
  <si>
    <t>ТОО "SK STROY-21"</t>
  </si>
  <si>
    <t>210140038698</t>
  </si>
  <si>
    <t>161040020830</t>
  </si>
  <si>
    <t>190340014136</t>
  </si>
  <si>
    <t>170640031311</t>
  </si>
  <si>
    <t>170240025312</t>
  </si>
  <si>
    <t>210440020428</t>
  </si>
  <si>
    <t>170840012312</t>
  </si>
  <si>
    <t>141140022044</t>
  </si>
  <si>
    <t>170840012253</t>
  </si>
  <si>
    <t>141140022094</t>
  </si>
  <si>
    <t>160340010693</t>
  </si>
  <si>
    <t>180540027976</t>
  </si>
  <si>
    <t>161040016763</t>
  </si>
  <si>
    <t>220540012145</t>
  </si>
  <si>
    <t>211140017678</t>
  </si>
  <si>
    <t>190440041404</t>
  </si>
  <si>
    <t>200540007036</t>
  </si>
  <si>
    <t>140140015900</t>
  </si>
  <si>
    <t>211140016647</t>
  </si>
  <si>
    <t>170540018975</t>
  </si>
  <si>
    <t>190140012211</t>
  </si>
  <si>
    <t>220240017482</t>
  </si>
  <si>
    <t>181140015247</t>
  </si>
  <si>
    <t>170240033531</t>
  </si>
  <si>
    <t>190340022513</t>
  </si>
  <si>
    <t>160940030233</t>
  </si>
  <si>
    <t>190840014283</t>
  </si>
  <si>
    <t>140740014518</t>
  </si>
  <si>
    <t>170840009898</t>
  </si>
  <si>
    <t>190640001234</t>
  </si>
  <si>
    <t>170840035976</t>
  </si>
  <si>
    <t>190940030982</t>
  </si>
  <si>
    <t>08.09.2024                  Гарантийный случай</t>
  </si>
  <si>
    <t>130340016121</t>
  </si>
  <si>
    <t>170340033307</t>
  </si>
  <si>
    <t>200140012157</t>
  </si>
  <si>
    <t>210240029444</t>
  </si>
  <si>
    <t>201040010143</t>
  </si>
  <si>
    <t>ТОО "Уполномоченная компания"Достар"</t>
  </si>
  <si>
    <t>190340022583</t>
  </si>
  <si>
    <t>110340014607</t>
  </si>
  <si>
    <t>060140001190</t>
  </si>
  <si>
    <t>ТОО "ЭКО-ПОТОК"</t>
  </si>
  <si>
    <t>130240019112</t>
  </si>
  <si>
    <t>Аяпова Г.Н.</t>
  </si>
  <si>
    <t>20.09.2024                             акт на регистрации</t>
  </si>
  <si>
    <t>Технические вопросы</t>
  </si>
  <si>
    <t>Наименование проекта</t>
  </si>
  <si>
    <t>Характер вопроса</t>
  </si>
  <si>
    <t>ЖК "Отбасы сату" 3 очередь</t>
  </si>
  <si>
    <t>ЖК "Гранд Виктория" 3 оч.</t>
  </si>
  <si>
    <t>ТОО «BAZIS-A Corp.»</t>
  </si>
  <si>
    <t>ТОО «Орынбор 2017»</t>
  </si>
  <si>
    <t>Смайлова Д.Н.</t>
  </si>
  <si>
    <t>снятие обременения с землеьного участка</t>
  </si>
  <si>
    <t>Кенесов М.Г.</t>
  </si>
  <si>
    <t>МЖК "Аман пятно 7"</t>
  </si>
  <si>
    <t>МЖК "Бағыстан 1, 5 оч.позиция 2,4"</t>
  </si>
  <si>
    <t>МЖК "Даулетті қалашық, 2 очередь"</t>
  </si>
  <si>
    <t>Статус</t>
  </si>
  <si>
    <r>
      <t>Себестоимость
тыс.тенге/1 м</t>
    </r>
    <r>
      <rPr>
        <b/>
        <i/>
        <vertAlign val="superscript"/>
        <sz val="11"/>
        <color indexed="9"/>
        <rFont val="Times New Roman"/>
        <family val="1"/>
        <charset val="204"/>
      </rPr>
      <t>2</t>
    </r>
  </si>
  <si>
    <r>
      <t>Цена реал. тыс.тенге/1 м</t>
    </r>
    <r>
      <rPr>
        <b/>
        <i/>
        <vertAlign val="superscript"/>
        <sz val="11"/>
        <color indexed="9"/>
        <rFont val="Times New Roman"/>
        <family val="1"/>
        <charset val="204"/>
      </rPr>
      <t>2</t>
    </r>
  </si>
  <si>
    <r>
      <t>28.05.2024/</t>
    </r>
    <r>
      <rPr>
        <sz val="11"/>
        <color rgb="FFFF0000"/>
        <rFont val="Times New Roman"/>
        <family val="1"/>
        <charset val="204"/>
      </rPr>
      <t xml:space="preserve"> продлен по ЧС до 12.07.2024</t>
    </r>
  </si>
  <si>
    <r>
      <rPr>
        <b/>
        <i/>
        <sz val="11"/>
        <color rgb="FFFF0000"/>
        <rFont val="Times New Roman"/>
        <family val="1"/>
        <charset val="204"/>
      </rPr>
      <t xml:space="preserve">Увеличение стоимости </t>
    </r>
    <r>
      <rPr>
        <sz val="11"/>
        <rFont val="Times New Roman"/>
        <family val="1"/>
        <charset val="204"/>
      </rPr>
      <t xml:space="preserve">
</t>
    </r>
    <r>
      <rPr>
        <b/>
        <sz val="11"/>
        <rFont val="Times New Roman"/>
        <family val="1"/>
        <charset val="204"/>
      </rPr>
      <t>МЖК Kerim</t>
    </r>
  </si>
  <si>
    <r>
      <rPr>
        <b/>
        <sz val="11"/>
        <color rgb="FFFF0000"/>
        <rFont val="Times New Roman"/>
        <family val="1"/>
        <charset val="204"/>
      </rPr>
      <t>Наружные инженерные сети</t>
    </r>
    <r>
      <rPr>
        <b/>
        <sz val="11"/>
        <rFont val="Times New Roman"/>
        <family val="1"/>
        <charset val="204"/>
      </rPr>
      <t xml:space="preserve">
МЖК Aisar</t>
    </r>
  </si>
  <si>
    <t>Действующие</t>
  </si>
  <si>
    <r>
      <rPr>
        <b/>
        <i/>
        <sz val="11"/>
        <color rgb="FFFF0000"/>
        <rFont val="Times New Roman"/>
        <family val="1"/>
        <charset val="204"/>
      </rPr>
      <t>Увеличение стоимости</t>
    </r>
    <r>
      <rPr>
        <b/>
        <sz val="11"/>
        <color rgb="FFFF0000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
ЖК "Ак Дидар", (пятна 9-13)</t>
    </r>
  </si>
  <si>
    <r>
      <rPr>
        <b/>
        <i/>
        <sz val="11"/>
        <color rgb="FFFF0000"/>
        <rFont val="Times New Roman"/>
        <family val="1"/>
        <charset val="204"/>
      </rPr>
      <t xml:space="preserve">Увеличение стоимости </t>
    </r>
    <r>
      <rPr>
        <b/>
        <sz val="11"/>
        <rFont val="Times New Roman"/>
        <family val="1"/>
        <charset val="204"/>
      </rPr>
      <t xml:space="preserve">
МЖК Сердце Столицы, 1 оч. Наружные инженерные сети</t>
    </r>
  </si>
  <si>
    <r>
      <rPr>
        <b/>
        <i/>
        <sz val="11"/>
        <color rgb="FFFF0000"/>
        <rFont val="Times New Roman"/>
        <family val="1"/>
        <charset val="204"/>
      </rPr>
      <t xml:space="preserve">Увеличение стоимости </t>
    </r>
    <r>
      <rPr>
        <b/>
        <sz val="11"/>
        <rFont val="Times New Roman"/>
        <family val="1"/>
        <charset val="204"/>
      </rPr>
      <t xml:space="preserve">
МЖК Nova City на Туране, 1 очередь. Наружные инженерные сети.</t>
    </r>
  </si>
  <si>
    <r>
      <rPr>
        <b/>
        <i/>
        <sz val="11"/>
        <color rgb="FFFF0000"/>
        <rFont val="Times New Roman"/>
        <family val="1"/>
        <charset val="204"/>
      </rPr>
      <t xml:space="preserve">Увеличение стоимости </t>
    </r>
    <r>
      <rPr>
        <b/>
        <sz val="11"/>
        <rFont val="Times New Roman"/>
        <family val="1"/>
        <charset val="204"/>
      </rPr>
      <t xml:space="preserve">
МЖК Асыл Мура, блок А. Наружные инженерные сети</t>
    </r>
  </si>
  <si>
    <r>
      <rPr>
        <b/>
        <i/>
        <sz val="11"/>
        <color rgb="FFFF0000"/>
        <rFont val="Times New Roman"/>
        <family val="1"/>
        <charset val="204"/>
      </rPr>
      <t xml:space="preserve">Увеличение стоимости </t>
    </r>
    <r>
      <rPr>
        <b/>
        <sz val="11"/>
        <rFont val="Times New Roman"/>
        <family val="1"/>
        <charset val="204"/>
      </rPr>
      <t xml:space="preserve">
МЖК Аман, пятна 1, 2, 3</t>
    </r>
  </si>
  <si>
    <r>
      <rPr>
        <b/>
        <i/>
        <sz val="11"/>
        <color rgb="FFFF0000"/>
        <rFont val="Times New Roman"/>
        <family val="1"/>
        <charset val="204"/>
      </rPr>
      <t xml:space="preserve">Увеличение стоимости </t>
    </r>
    <r>
      <rPr>
        <b/>
        <sz val="11"/>
        <rFont val="Times New Roman"/>
        <family val="1"/>
        <charset val="204"/>
      </rPr>
      <t xml:space="preserve">
МЖК SOHO, Квартал 1В, Очереди 1 и 2, Блоки 1-7, 8.1.</t>
    </r>
  </si>
  <si>
    <r>
      <rPr>
        <b/>
        <i/>
        <sz val="11"/>
        <color rgb="FFFF0000"/>
        <rFont val="Times New Roman"/>
        <family val="1"/>
        <charset val="204"/>
      </rPr>
      <t xml:space="preserve">Увеличение стоимости </t>
    </r>
    <r>
      <rPr>
        <b/>
        <sz val="11"/>
        <rFont val="Times New Roman"/>
        <family val="1"/>
        <charset val="204"/>
      </rPr>
      <t xml:space="preserve">
МЖК Sezim Qala 10 очередь
Наружные инженерные сети. </t>
    </r>
  </si>
  <si>
    <r>
      <rPr>
        <b/>
        <i/>
        <sz val="11"/>
        <color rgb="FFFF0000"/>
        <rFont val="Times New Roman"/>
        <family val="1"/>
        <charset val="204"/>
      </rPr>
      <t>Увеличение стоимости</t>
    </r>
    <r>
      <rPr>
        <b/>
        <sz val="11"/>
        <rFont val="Times New Roman"/>
        <family val="1"/>
        <charset val="204"/>
      </rPr>
      <t xml:space="preserve">
 МЖК Асыл Мура, блок В. Наружные инженерные сети</t>
    </r>
  </si>
  <si>
    <r>
      <rPr>
        <b/>
        <i/>
        <sz val="11"/>
        <color rgb="FFFF0000"/>
        <rFont val="Times New Roman"/>
        <family val="1"/>
        <charset val="204"/>
      </rPr>
      <t xml:space="preserve">Уменьшение стоимости </t>
    </r>
    <r>
      <rPr>
        <b/>
        <sz val="11"/>
        <rFont val="Times New Roman"/>
        <family val="1"/>
        <charset val="204"/>
      </rPr>
      <t xml:space="preserve">
МЖК Столичный-2</t>
    </r>
  </si>
  <si>
    <r>
      <rPr>
        <b/>
        <i/>
        <sz val="11"/>
        <color rgb="FFFF0000"/>
        <rFont val="Times New Roman"/>
        <family val="1"/>
        <charset val="204"/>
      </rPr>
      <t>Увеличение стоимости</t>
    </r>
    <r>
      <rPr>
        <b/>
        <sz val="11"/>
        <rFont val="Times New Roman"/>
        <family val="1"/>
        <charset val="204"/>
      </rPr>
      <t xml:space="preserve">
МЖК Sezim, Qala 12 очередь 
Наружные инженерные сети. </t>
    </r>
  </si>
  <si>
    <r>
      <rPr>
        <b/>
        <sz val="11"/>
        <color rgb="FFFF0000"/>
        <rFont val="Times New Roman"/>
        <family val="1"/>
        <charset val="204"/>
      </rPr>
      <t xml:space="preserve">Увеличение стоимости </t>
    </r>
    <r>
      <rPr>
        <b/>
        <sz val="11"/>
        <rFont val="Times New Roman"/>
        <family val="1"/>
        <charset val="204"/>
      </rPr>
      <t xml:space="preserve">
МЖК Жер Ана</t>
    </r>
  </si>
  <si>
    <r>
      <rPr>
        <b/>
        <i/>
        <sz val="11"/>
        <color rgb="FFFF0000"/>
        <rFont val="Times New Roman"/>
        <family val="1"/>
        <charset val="204"/>
      </rPr>
      <t xml:space="preserve">Увеличение стоимости </t>
    </r>
    <r>
      <rPr>
        <b/>
        <sz val="11"/>
        <rFont val="Times New Roman"/>
        <family val="1"/>
        <charset val="204"/>
      </rPr>
      <t xml:space="preserve">
МЖК Life Town 1 очередь, 2 пусковой</t>
    </r>
  </si>
  <si>
    <r>
      <rPr>
        <b/>
        <sz val="11"/>
        <color rgb="FFFF0000"/>
        <rFont val="Times New Roman"/>
        <family val="1"/>
        <charset val="204"/>
      </rPr>
      <t xml:space="preserve">Уменьшение стоимости                                           </t>
    </r>
    <r>
      <rPr>
        <b/>
        <sz val="11"/>
        <rFont val="Times New Roman"/>
        <family val="1"/>
        <charset val="204"/>
      </rPr>
      <t xml:space="preserve"> МЖК Prestige City, 4 квартал, 1 оч. </t>
    </r>
  </si>
  <si>
    <r>
      <rPr>
        <b/>
        <sz val="11"/>
        <color rgb="FFFF0000"/>
        <rFont val="Times New Roman"/>
        <family val="1"/>
        <charset val="204"/>
      </rPr>
      <t xml:space="preserve">Увеличение стоимости </t>
    </r>
    <r>
      <rPr>
        <b/>
        <sz val="11"/>
        <rFont val="Times New Roman"/>
        <family val="1"/>
        <charset val="204"/>
      </rPr>
      <t xml:space="preserve">
МЖК Elorda residensе </t>
    </r>
  </si>
  <si>
    <r>
      <t>ДПГ-20-06-018/</t>
    </r>
    <r>
      <rPr>
        <sz val="11"/>
        <rFont val="Times New Roman"/>
        <family val="1"/>
        <charset val="204"/>
      </rPr>
      <t>040</t>
    </r>
  </si>
  <si>
    <r>
      <t>1 очередь – 07.04.2022г.</t>
    </r>
    <r>
      <rPr>
        <sz val="11"/>
        <rFont val="Times New Roman"/>
        <family val="1"/>
        <charset val="204"/>
      </rPr>
      <t xml:space="preserve">
2 очередь – 21.04.2022г.;
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4 очередь - 11.08.2022г.</t>
    </r>
  </si>
  <si>
    <r>
      <t>1 очередь – 01.04.2022г.</t>
    </r>
    <r>
      <rPr>
        <sz val="11"/>
        <rFont val="Times New Roman"/>
        <family val="1"/>
        <charset val="204"/>
      </rPr>
      <t xml:space="preserve">
2 очередь – 01.04.2022г.;
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rFont val="Times New Roman"/>
        <family val="1"/>
        <charset val="204"/>
      </rPr>
      <t>4 очередь - 22.07.2022г.</t>
    </r>
  </si>
  <si>
    <t>Завершенные</t>
  </si>
  <si>
    <t>Дата завершения 2</t>
  </si>
  <si>
    <t>Названия строк</t>
  </si>
  <si>
    <t>Общий итог</t>
  </si>
  <si>
    <t>Количество по полю №</t>
  </si>
  <si>
    <t>(несколько элементов)</t>
  </si>
  <si>
    <t>Сумма по полю Стоимость, тенге</t>
  </si>
  <si>
    <t>Сумма по полю Площадь, кв.м по Проекту</t>
  </si>
  <si>
    <t>Сумма по полю Количество квартир по Проекту</t>
  </si>
  <si>
    <t>Сумма по полю Количество квартир по факту (после ввода)*</t>
  </si>
  <si>
    <t>МЖК Landmark, 3 очередь, пятно 50000</t>
  </si>
  <si>
    <t>27.09.2024                        акт на регистрации</t>
  </si>
  <si>
    <t>МЖК Центральный сквер, 4 очередь</t>
  </si>
  <si>
    <t>завершение срока действий гарантии</t>
  </si>
  <si>
    <t>изменение банковских реквизитов</t>
  </si>
  <si>
    <t>категория тех.вопроса</t>
  </si>
  <si>
    <t>расконсервация объектов строительства</t>
  </si>
  <si>
    <t>на рассмотрении СП (после доработки)</t>
  </si>
  <si>
    <t>получение согласия АО "КЖК" на смену генерального подрядчика</t>
  </si>
  <si>
    <t>МЖК "Арлын, 4 очередь"</t>
  </si>
  <si>
    <t>ТОО "ARLYN"</t>
  </si>
  <si>
    <t>подготовка вопроса на комитет</t>
  </si>
  <si>
    <t>на рассмотрении СП</t>
  </si>
  <si>
    <t>корректировка ПСД</t>
  </si>
  <si>
    <t>на рассмотрении СП (после доработки новая заявка)</t>
  </si>
  <si>
    <t>МЖК "Даулетті қалашық, 1 очередь"</t>
  </si>
  <si>
    <t>снятие обременения с земельных участкой (после сег ментации)</t>
  </si>
  <si>
    <t>продление сроков аренды</t>
  </si>
  <si>
    <t>МЖК "RAAF"</t>
  </si>
  <si>
    <t xml:space="preserve">согласие на регистрацию ввода </t>
  </si>
  <si>
    <t>подготовка доверенности</t>
  </si>
  <si>
    <t xml:space="preserve">Жусанова Т. / Баркинхоев А. </t>
  </si>
  <si>
    <t>заявка зарегистрирована, на рассмотрении - 2 круг</t>
  </si>
  <si>
    <t>Смайлова Д. / Кожухова Д.</t>
  </si>
  <si>
    <t>Баркинхоев А./Алимжанова Д.</t>
  </si>
  <si>
    <t>заявка зарегистрирована, на рассмотрении - 1 круг</t>
  </si>
  <si>
    <t>Исмаков А./Жакыпбеков А.</t>
  </si>
  <si>
    <t>МЖК Мадениет</t>
  </si>
  <si>
    <t>Жакыпбеков А. / Кожухова Д.</t>
  </si>
  <si>
    <t>Исмаков А./Жакыпбеков А.Д.</t>
  </si>
  <si>
    <t>Исмаков А./Аяпова Г.</t>
  </si>
  <si>
    <t>консультация, на стадии полуяения экспертизы</t>
  </si>
  <si>
    <t>ЖК в г.Петропавловск</t>
  </si>
  <si>
    <t>г. Петропавловск</t>
  </si>
  <si>
    <t>ТОО "Единство"</t>
  </si>
  <si>
    <t>консультация, на стадии получения экспертизы экспертизы</t>
  </si>
  <si>
    <t>Баркинхоев А./.Аяпова Г.</t>
  </si>
  <si>
    <t>ЖК "Пионер"</t>
  </si>
  <si>
    <t>ТОО "Пионер констракшн"</t>
  </si>
  <si>
    <t>ожидаем договор субсидирования</t>
  </si>
  <si>
    <t>Куратор</t>
  </si>
  <si>
    <t>Алимжанова Д.К.</t>
  </si>
  <si>
    <t>Арыстанбекова А.И.</t>
  </si>
  <si>
    <t>Жакыпбеков А.Д.</t>
  </si>
  <si>
    <t>Акты ввода на регистрации</t>
  </si>
  <si>
    <t xml:space="preserve">ДС № 2 к ДПГ-22-01-054/117 </t>
  </si>
  <si>
    <t>доп.согл. №1 к ДПГ-23-03-049/148 от 18.08.23г.</t>
  </si>
  <si>
    <t>доп.согл. №2 к ДПГ-23-03-049/148 от 18.08.2023</t>
  </si>
  <si>
    <t>доп.согл. №9 от 11.04.2024г к ДПГ-20-01-001/037 от28.02.20г</t>
  </si>
  <si>
    <t>ДПГ-24-02-071/167</t>
  </si>
  <si>
    <t>доп.согл. №1 к ДПГ-23-16-068/155 от 11.10.2023г.</t>
  </si>
  <si>
    <t>доп.согл. №4 от 20.03.24г к ДПГ-22-01-024/116 от 11.08.22г</t>
  </si>
  <si>
    <t>доп.согл. №2 к ДПГ-23-17-050-159 от 28.12.2023</t>
  </si>
  <si>
    <t>доп.согл. №1 к ДПГ-23-02-064/147 от 20.07.2023г.</t>
  </si>
  <si>
    <t>доп.согл. №2 к ДПГ-23-16-068/155 от 11.10.2023г.</t>
  </si>
  <si>
    <t>доп.согл. №1 к ДПГ-24-01-044/166 от 28.03.2024г.</t>
  </si>
  <si>
    <t>ДПГ-24-01-036/172</t>
  </si>
  <si>
    <t>ДПГ-24-14-046/173</t>
  </si>
  <si>
    <t>доп.согл. №1 к ДПГ -21-01-001/161 от 18.01.2024г.</t>
  </si>
  <si>
    <t xml:space="preserve">ДПГ-24-01-036/174 </t>
  </si>
  <si>
    <t>доп.согл. №10 к ДПГ-20-01-001/037 от 28.02.2024г.</t>
  </si>
  <si>
    <t>доп.согл. №1 к
ДПГ-18-02-005/006</t>
  </si>
  <si>
    <t>доп.согл. №4 к 
ДПГ-19-02-013/030 27.11.2019г.</t>
  </si>
  <si>
    <t>доп.согл. №2 к 
ДПГ-19-01-001/029 03.12.2019</t>
  </si>
  <si>
    <t>доп.согл. №2 к 
ДПГ-21-01-008/084 14.09.2021</t>
  </si>
  <si>
    <t>доп.согл. №3 к 
ДПГ-20-01-008/031 05.02.2020</t>
  </si>
  <si>
    <t xml:space="preserve">доп.согл. №6 к 
ДПГ-20-01-008/031 05.02.2020 </t>
  </si>
  <si>
    <t>доп.согл. №4 к 
ДПГ-20-01-001/037  28.02.2020</t>
  </si>
  <si>
    <t>доп.согл. №1 к
ДПГ-21-02-001/062  от 17.05.2021</t>
  </si>
  <si>
    <t>доп.согл. №3 к 
ДПГ-21-01-001/054 30.03.2021</t>
  </si>
  <si>
    <t>доп.согл. №1 к
ДПГ-21-01-001/054 30.03.2021</t>
  </si>
  <si>
    <t>доп.согл. №1 к
ДПГ-21-01-008/089 14.09.2021</t>
  </si>
  <si>
    <t xml:space="preserve">доп.согл. №1 к
ДПГ-20-06-021/044 </t>
  </si>
  <si>
    <t>доп.согл. №2 к 
ДПГ-20-02-014/047 от 17.09.20</t>
  </si>
  <si>
    <t>доп.согл. №5 к
ДПГ-21-02-001/062  17.05.2021</t>
  </si>
  <si>
    <t>доп.согл. №2 к 
ДПГ-21-01-001/058 09.04.2021</t>
  </si>
  <si>
    <t>доп.согл. №1 к 
ДПГ-18-01-007/008</t>
  </si>
  <si>
    <t>доп.согл. №1 к 
ДПГ-19-01-008/015</t>
  </si>
  <si>
    <t>доп.согл. №1 к
ДПГ-19-01-001/013</t>
  </si>
  <si>
    <t>доп.согл. №1 к 
ДПГ-19-01-008/027</t>
  </si>
  <si>
    <t>доп.согл. №1 к 
ДПГ-22-01-047/105 от 15.02.2022</t>
  </si>
  <si>
    <t>доп.согл. №1 к 
ДПГ-22-05-031/122  13.09.2022</t>
  </si>
  <si>
    <t>доп.согл. №2 к 
ДПГ-22-05-031/122  13.09.2022</t>
  </si>
  <si>
    <t>доп.согл. №7 к 
ДПГ-21-02-001/062 от 17.05.2021</t>
  </si>
  <si>
    <t>доп.согл. №8 к 
ДПГ-21-01-001/054 от 30.03.2021</t>
  </si>
  <si>
    <t>доп.согл. №2 к 
ДПГ-21-02-025/073 от 24.09.2021</t>
  </si>
  <si>
    <t>доп.согл. №7 к 
ДПГ-20-01-001/037 28.02.2020</t>
  </si>
  <si>
    <t>доп.согл. №5 к 
ДПГ-21-01-001/058 от 09.04.2021</t>
  </si>
  <si>
    <t>доп.согл. №7 к ДПГ-21-01-001/058 от 09.04.21</t>
  </si>
  <si>
    <t>доп.согл. №3 к 
ДПГ-18-01-007/008</t>
  </si>
  <si>
    <t>доп.согл. №7 к
ДПГ-17-02-001/002</t>
  </si>
  <si>
    <t>доп.согл. №3 к 
ДПГ-19-01-008/015</t>
  </si>
  <si>
    <t>доп.согл. №2 к 
ДПГ-19-01-008/015</t>
  </si>
  <si>
    <t>доп.согл. №3 к 
ДПГ-19-01-001/013</t>
  </si>
  <si>
    <t>доп.согл. №3 к 
ДПГ-19-02-005/024</t>
  </si>
  <si>
    <t>доп.согл. №2 к 
ДПГ-20-02-008/034</t>
  </si>
  <si>
    <t>доп.согл. №1 к 
ДПГ-20-02-020/043</t>
  </si>
  <si>
    <t>доп.согл. №4 к 
ДПГ-19-01-008/015</t>
  </si>
  <si>
    <t>доп.согл. №4 к 
ДПГ-19-01-001/013</t>
  </si>
  <si>
    <t>ДПГ-20-01-001/032</t>
  </si>
  <si>
    <t>ДПГ-20-02-020/043
доп.согл. №2 от 02.03.2021г.</t>
  </si>
  <si>
    <t xml:space="preserve">ДПГ-20-01-022/048 от 30.11.2020
доп.согл. №1 от 26.05.2021г.  </t>
  </si>
  <si>
    <t xml:space="preserve"> ДПГ-20-02-020\042 от 17.06.2020
доп.согл. №2 от 15.07.2021г.</t>
  </si>
  <si>
    <t xml:space="preserve">ДПГ-21-02-020/085 от 30.09.2021
доп.согл. №1 от 25.11.2021г.  </t>
  </si>
  <si>
    <t>доп.согл. №1 к ДПГ-23-01-008/145 от 26.06.2023г.</t>
  </si>
  <si>
    <t>доп.согл. №3 к ДПГ-23-01-008/145 от 26.06.2023г.</t>
  </si>
  <si>
    <t>доп.согл. №9 к ДПГ-21-01-001/054 от 30.03.2021г.</t>
  </si>
  <si>
    <t>доп.согл. №3 от 15.01.24г к ДПГ-22-13-058/124 от 01.11.2022г.</t>
  </si>
  <si>
    <t>доп.согл. №1 к ДПГ-23-05-052/133 от 14.03.2023г.</t>
  </si>
  <si>
    <t>доп.согл. №3 к ДПГ-21-06-042-095 от 26.11.2021г.</t>
  </si>
  <si>
    <t>Площадь коммерческих помещений, кв.м.</t>
  </si>
  <si>
    <t>ЗАВЕРШЕННЫЕ</t>
  </si>
  <si>
    <t>ДЕЙСТВУЮЩИЕ</t>
  </si>
  <si>
    <t>доп.согл. №3 от 14.12.2020г. к ДПГ-19-02-005/024 от 20.09.2019г.</t>
  </si>
  <si>
    <t>ТОО "Сарыарка инвест строй"</t>
  </si>
  <si>
    <t>ТОО "Sensata constraction"</t>
  </si>
  <si>
    <t>ТОО "Tarih construction"</t>
  </si>
  <si>
    <t>вопрос выносится на КГС</t>
  </si>
  <si>
    <t>подписание доп.соглашений</t>
  </si>
  <si>
    <t>МЖК в г. Шымкент</t>
  </si>
  <si>
    <t>D-192</t>
  </si>
  <si>
    <t>Строительстве многоквартирного жилого дома по адресу: ул.Герцена, 80, в городе Семей, область Абай</t>
  </si>
  <si>
    <t>ТОО "Билдинг Сервис Со"</t>
  </si>
  <si>
    <t>ТОО "Виктория 13"</t>
  </si>
  <si>
    <t xml:space="preserve">подписание договора транша </t>
  </si>
  <si>
    <t xml:space="preserve">Кожухова Д. </t>
  </si>
  <si>
    <t xml:space="preserve">согласование Договора </t>
  </si>
  <si>
    <t>Строительство "90 квартирный  пятиэтажный жилой дом вместо №37 и №38 в 3-ем микрорайоне г. Актау" (без сметы и инженерных сетей)</t>
  </si>
  <si>
    <t xml:space="preserve">ТОО «КурылысСтройСервис» </t>
  </si>
  <si>
    <t xml:space="preserve"> Заключение договора субсидирования (транш)</t>
  </si>
  <si>
    <t>МЖК "Тулпар"</t>
  </si>
  <si>
    <t xml:space="preserve">ТОО "Standart construction-7" </t>
  </si>
  <si>
    <t>ТОО "Tulpar apartments"</t>
  </si>
  <si>
    <t>230340018614</t>
  </si>
  <si>
    <t>МЖК "Level"</t>
  </si>
  <si>
    <t>ТОО "Astana real estate 2023"</t>
  </si>
  <si>
    <t>221140030716</t>
  </si>
  <si>
    <t>03.10.2024                             Гарантийный случай</t>
  </si>
  <si>
    <t>ВСЕГО ЗАВЕРШЕННЫХ 190 ПРОЕКТОВ</t>
  </si>
  <si>
    <t>доп.согл. №1 к ДПГ-23-01-008/136 от 17.05.2023г.</t>
  </si>
  <si>
    <t>МЖК "Бағыстан-1", 4 очередь, позиция 13</t>
  </si>
  <si>
    <t>ТОО "Стройквартал"</t>
  </si>
  <si>
    <t>190140009448</t>
  </si>
  <si>
    <t>МЖК "Кеменгер"</t>
  </si>
  <si>
    <t>МЖК "Aura Alatau"</t>
  </si>
  <si>
    <t>ЖК "Сыр Самалы"</t>
  </si>
  <si>
    <t>Алматинская область
г.Конаев</t>
  </si>
  <si>
    <t>Созаемщик</t>
  </si>
  <si>
    <t>ТОО "BestStroy"</t>
  </si>
  <si>
    <t>180840024972</t>
  </si>
  <si>
    <t>МЖК "Гранд Виктория (3-1)"</t>
  </si>
  <si>
    <t>Свод проектов по годам по состоянию на 30.10.2024г.</t>
  </si>
  <si>
    <t>Регион
Кол-во</t>
  </si>
  <si>
    <t>Регион
Ст-ть</t>
  </si>
  <si>
    <t>Год
Кол-во</t>
  </si>
  <si>
    <t>Год
Ст-ть</t>
  </si>
  <si>
    <t>Себестоимость
тыс.тенге/1 м2</t>
  </si>
  <si>
    <t>Цена реал. тыс.тенге/1 м2</t>
  </si>
  <si>
    <t>Дата завершения 2/АПОЭ</t>
  </si>
  <si>
    <t>02.10.2024                       Акт на регистрации</t>
  </si>
  <si>
    <t>Дата завершения 2/Дата по АПОЭ</t>
  </si>
  <si>
    <t>да</t>
  </si>
  <si>
    <r>
      <rPr>
        <b/>
        <sz val="12"/>
        <color rgb="FFFF0000"/>
        <rFont val="Times New Roman"/>
        <family val="1"/>
        <charset val="204"/>
      </rPr>
      <t xml:space="preserve">Уменьшение стоимости </t>
    </r>
    <r>
      <rPr>
        <b/>
        <sz val="12"/>
        <rFont val="Times New Roman"/>
        <family val="1"/>
        <charset val="204"/>
      </rPr>
      <t xml:space="preserve">МЖК Prestige City, 4 квартал, 1 оч. </t>
    </r>
  </si>
  <si>
    <t>доп.согл. №1 к 
ДПГ-20-01-001/032 от 06.02.2020г.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</si>
</sst>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"/>
    <numFmt numFmtId="167" formatCode="#,##0.00_ ;\-#,##0.00\ "/>
    <numFmt numFmtId="168" formatCode="000000"/>
    <numFmt numFmtId="169" formatCode="_-* #,##0_-;\-* #,##0_-;_-* &quot;-&quot;??_-;_-@_-"/>
  </numFmts>
  <fonts count="6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20"/>
      <color rgb="FFFF0000"/>
      <name val="Times New Roman"/>
      <family val="1"/>
      <charset val="204"/>
    </font>
    <font>
      <b/>
      <i/>
      <sz val="12"/>
      <color theme="0"/>
      <name val="Times New Roman"/>
      <family val="1"/>
      <charset val="204"/>
    </font>
    <font>
      <b/>
      <i/>
      <vertAlign val="superscript"/>
      <sz val="12"/>
      <color indexed="9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FF0000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b/>
      <u/>
      <sz val="15"/>
      <color theme="1"/>
      <name val="Times New Roman"/>
      <family val="1"/>
      <charset val="204"/>
    </font>
    <font>
      <b/>
      <sz val="15"/>
      <name val="Times New Roman"/>
      <family val="1"/>
      <charset val="204"/>
    </font>
    <font>
      <b/>
      <u/>
      <sz val="15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2"/>
      <color indexed="54"/>
      <name val="Calibri"/>
      <family val="2"/>
      <charset val="204"/>
    </font>
    <font>
      <sz val="13"/>
      <color theme="1"/>
      <name val="Times New Roman"/>
      <family val="1"/>
      <charset val="204"/>
    </font>
    <font>
      <b/>
      <i/>
      <sz val="15"/>
      <color theme="1"/>
      <name val="Times New Roman"/>
      <family val="1"/>
      <charset val="204"/>
    </font>
    <font>
      <b/>
      <u/>
      <sz val="14"/>
      <name val="Times New Roman"/>
      <family val="1"/>
      <charset val="204"/>
    </font>
    <font>
      <b/>
      <i/>
      <sz val="18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2"/>
      <color theme="4"/>
      <name val="Calibri"/>
      <family val="2"/>
      <charset val="204"/>
      <scheme val="minor"/>
    </font>
    <font>
      <sz val="11"/>
      <color indexed="81"/>
      <name val="Tahoma"/>
      <family val="2"/>
      <charset val="204"/>
    </font>
    <font>
      <sz val="12"/>
      <color rgb="FFFF0000"/>
      <name val="Times New Roman"/>
      <family val="1"/>
      <charset val="204"/>
    </font>
    <font>
      <b/>
      <i/>
      <sz val="15"/>
      <name val="Times New Roman"/>
      <family val="1"/>
      <charset val="204"/>
    </font>
    <font>
      <sz val="12"/>
      <color indexed="81"/>
      <name val="Tahoma"/>
      <family val="2"/>
      <charset val="204"/>
    </font>
    <font>
      <b/>
      <sz val="20"/>
      <name val="Times New Roman"/>
      <family val="1"/>
      <charset val="204"/>
    </font>
    <font>
      <b/>
      <i/>
      <u/>
      <sz val="15"/>
      <color theme="1"/>
      <name val="Times New Roman"/>
      <family val="1"/>
      <charset val="204"/>
    </font>
    <font>
      <b/>
      <i/>
      <sz val="15"/>
      <color rgb="FFFF0000"/>
      <name val="Times New Roman"/>
      <family val="1"/>
      <charset val="204"/>
    </font>
    <font>
      <b/>
      <i/>
      <u/>
      <sz val="15"/>
      <color rgb="FFFF0000"/>
      <name val="Times New Roman"/>
      <family val="1"/>
      <charset val="204"/>
    </font>
    <font>
      <i/>
      <sz val="15"/>
      <name val="Times New Roman"/>
      <family val="1"/>
      <charset val="204"/>
    </font>
    <font>
      <sz val="15"/>
      <color theme="1"/>
      <name val="Times New Roman"/>
      <family val="1"/>
      <charset val="204"/>
    </font>
    <font>
      <sz val="14"/>
      <color rgb="FFFF0000"/>
      <name val="Calibri"/>
      <family val="2"/>
      <charset val="204"/>
      <scheme val="minor"/>
    </font>
    <font>
      <b/>
      <sz val="16"/>
      <color theme="0"/>
      <name val="Times New Roman"/>
      <family val="1"/>
      <charset val="204"/>
    </font>
    <font>
      <sz val="16"/>
      <color theme="0"/>
      <name val="Times New Roman"/>
      <family val="1"/>
      <charset val="204"/>
    </font>
    <font>
      <b/>
      <u/>
      <sz val="16"/>
      <color theme="0"/>
      <name val="Times New Roman"/>
      <family val="1"/>
      <charset val="204"/>
    </font>
    <font>
      <u/>
      <sz val="16"/>
      <color theme="0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indexed="81"/>
      <name val="Times New Roman"/>
      <family val="1"/>
      <charset val="204"/>
    </font>
    <font>
      <b/>
      <sz val="15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color theme="0"/>
      <name val="Times New Roman"/>
      <family val="1"/>
      <charset val="204"/>
    </font>
    <font>
      <b/>
      <i/>
      <vertAlign val="superscript"/>
      <sz val="11"/>
      <color indexed="9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4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sz val="11"/>
      <color rgb="FF333333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164" fontId="28" fillId="0" borderId="0" applyFont="0" applyFill="0" applyBorder="0" applyAlignment="0" applyProtection="0"/>
  </cellStyleXfs>
  <cellXfs count="6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2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/>
    </xf>
    <xf numFmtId="166" fontId="4" fillId="4" borderId="6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 wrapText="1"/>
    </xf>
    <xf numFmtId="3" fontId="4" fillId="4" borderId="6" xfId="0" applyNumberFormat="1" applyFont="1" applyFill="1" applyBorder="1" applyAlignment="1">
      <alignment horizontal="center" vertical="center"/>
    </xf>
    <xf numFmtId="14" fontId="9" fillId="4" borderId="6" xfId="0" applyNumberFormat="1" applyFont="1" applyFill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14" fontId="15" fillId="0" borderId="0" xfId="0" applyNumberFormat="1" applyFont="1" applyAlignment="1">
      <alignment vertical="center"/>
    </xf>
    <xf numFmtId="0" fontId="14" fillId="0" borderId="6" xfId="0" applyFont="1" applyBorder="1" applyAlignment="1">
      <alignment horizontal="center" vertical="center" wrapText="1"/>
    </xf>
    <xf numFmtId="166" fontId="4" fillId="0" borderId="6" xfId="0" applyNumberFormat="1" applyFont="1" applyBorder="1" applyAlignment="1">
      <alignment horizontal="center" vertical="center"/>
    </xf>
    <xf numFmtId="9" fontId="9" fillId="0" borderId="6" xfId="0" applyNumberFormat="1" applyFont="1" applyBorder="1" applyAlignment="1">
      <alignment horizontal="center" vertical="center" wrapText="1"/>
    </xf>
    <xf numFmtId="14" fontId="9" fillId="0" borderId="6" xfId="0" applyNumberFormat="1" applyFont="1" applyBorder="1" applyAlignment="1">
      <alignment horizontal="center" vertical="center" wrapText="1"/>
    </xf>
    <xf numFmtId="3" fontId="9" fillId="0" borderId="6" xfId="0" applyNumberFormat="1" applyFont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3" fontId="7" fillId="3" borderId="6" xfId="0" applyNumberFormat="1" applyFont="1" applyFill="1" applyBorder="1" applyAlignment="1">
      <alignment horizontal="center" vertical="center"/>
    </xf>
    <xf numFmtId="166" fontId="7" fillId="3" borderId="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17" fillId="0" borderId="5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 wrapText="1"/>
    </xf>
    <xf numFmtId="9" fontId="9" fillId="5" borderId="6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166" fontId="4" fillId="3" borderId="6" xfId="0" applyNumberFormat="1" applyFont="1" applyFill="1" applyBorder="1" applyAlignment="1">
      <alignment horizontal="center" vertical="center"/>
    </xf>
    <xf numFmtId="14" fontId="4" fillId="3" borderId="6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3" fontId="4" fillId="3" borderId="6" xfId="0" applyNumberFormat="1" applyFont="1" applyFill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3" fontId="9" fillId="3" borderId="6" xfId="0" applyNumberFormat="1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 wrapText="1"/>
    </xf>
    <xf numFmtId="14" fontId="9" fillId="3" borderId="12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 applyProtection="1">
      <alignment vertical="center"/>
      <protection locked="0"/>
    </xf>
    <xf numFmtId="0" fontId="6" fillId="3" borderId="6" xfId="0" applyFont="1" applyFill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3" fontId="24" fillId="0" borderId="0" xfId="0" applyNumberFormat="1" applyFont="1" applyAlignment="1">
      <alignment horizontal="center" vertical="center" wrapText="1"/>
    </xf>
    <xf numFmtId="3" fontId="17" fillId="3" borderId="6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17" fillId="0" borderId="0" xfId="0" applyNumberFormat="1" applyFont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5" fillId="3" borderId="6" xfId="0" applyFont="1" applyFill="1" applyBorder="1" applyAlignment="1">
      <alignment vertical="center"/>
    </xf>
    <xf numFmtId="3" fontId="3" fillId="3" borderId="6" xfId="0" applyNumberFormat="1" applyFont="1" applyFill="1" applyBorder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 wrapText="1"/>
    </xf>
    <xf numFmtId="3" fontId="4" fillId="3" borderId="12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9" fontId="9" fillId="0" borderId="0" xfId="0" applyNumberFormat="1" applyFont="1" applyAlignment="1">
      <alignment horizontal="center" vertical="center" wrapText="1"/>
    </xf>
    <xf numFmtId="166" fontId="4" fillId="0" borderId="6" xfId="0" applyNumberFormat="1" applyFont="1" applyBorder="1" applyAlignment="1">
      <alignment horizontal="center" vertical="center" wrapText="1"/>
    </xf>
    <xf numFmtId="166" fontId="21" fillId="0" borderId="6" xfId="0" applyNumberFormat="1" applyFont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 wrapText="1"/>
    </xf>
    <xf numFmtId="166" fontId="9" fillId="3" borderId="12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29" fillId="3" borderId="6" xfId="0" applyFont="1" applyFill="1" applyBorder="1" applyAlignment="1">
      <alignment horizontal="center" vertical="center" wrapText="1"/>
    </xf>
    <xf numFmtId="3" fontId="2" fillId="3" borderId="6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0" fillId="3" borderId="6" xfId="0" applyFont="1" applyFill="1" applyBorder="1" applyAlignment="1">
      <alignment vertical="center"/>
    </xf>
    <xf numFmtId="0" fontId="33" fillId="0" borderId="0" xfId="0" applyFont="1" applyAlignment="1">
      <alignment vertical="center"/>
    </xf>
    <xf numFmtId="166" fontId="4" fillId="0" borderId="0" xfId="0" applyNumberFormat="1" applyFont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14" fontId="27" fillId="0" borderId="6" xfId="0" applyNumberFormat="1" applyFont="1" applyBorder="1" applyAlignment="1">
      <alignment horizontal="center" vertical="center" wrapText="1"/>
    </xf>
    <xf numFmtId="3" fontId="9" fillId="0" borderId="6" xfId="0" applyNumberFormat="1" applyFont="1" applyBorder="1" applyAlignment="1">
      <alignment horizontal="center" vertical="center"/>
    </xf>
    <xf numFmtId="166" fontId="9" fillId="0" borderId="6" xfId="0" applyNumberFormat="1" applyFont="1" applyBorder="1" applyAlignment="1">
      <alignment horizontal="center" vertical="center" wrapText="1"/>
    </xf>
    <xf numFmtId="14" fontId="9" fillId="0" borderId="6" xfId="0" applyNumberFormat="1" applyFont="1" applyBorder="1" applyAlignment="1">
      <alignment horizontal="center" vertical="center"/>
    </xf>
    <xf numFmtId="14" fontId="14" fillId="0" borderId="6" xfId="0" applyNumberFormat="1" applyFont="1" applyBorder="1" applyAlignment="1">
      <alignment horizontal="center" vertical="center" wrapText="1"/>
    </xf>
    <xf numFmtId="167" fontId="9" fillId="0" borderId="6" xfId="0" applyNumberFormat="1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center" vertical="center" wrapText="1"/>
    </xf>
    <xf numFmtId="3" fontId="4" fillId="3" borderId="6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16" fillId="3" borderId="6" xfId="0" applyFont="1" applyFill="1" applyBorder="1" applyAlignment="1">
      <alignment horizontal="left" vertical="center" wrapText="1"/>
    </xf>
    <xf numFmtId="166" fontId="5" fillId="0" borderId="0" xfId="0" applyNumberFormat="1" applyFont="1" applyAlignment="1">
      <alignment vertical="center"/>
    </xf>
    <xf numFmtId="43" fontId="5" fillId="0" borderId="0" xfId="4" applyFont="1" applyBorder="1" applyAlignment="1">
      <alignment vertical="center"/>
    </xf>
    <xf numFmtId="14" fontId="4" fillId="0" borderId="6" xfId="0" applyNumberFormat="1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right" vertical="center" wrapText="1"/>
    </xf>
    <xf numFmtId="3" fontId="8" fillId="0" borderId="0" xfId="0" applyNumberFormat="1" applyFont="1" applyAlignment="1">
      <alignment vertical="center"/>
    </xf>
    <xf numFmtId="3" fontId="19" fillId="0" borderId="0" xfId="0" applyNumberFormat="1" applyFont="1" applyAlignment="1">
      <alignment vertical="center" wrapText="1"/>
    </xf>
    <xf numFmtId="3" fontId="9" fillId="4" borderId="6" xfId="0" applyNumberFormat="1" applyFont="1" applyFill="1" applyBorder="1" applyAlignment="1">
      <alignment horizontal="center" vertical="center"/>
    </xf>
    <xf numFmtId="14" fontId="9" fillId="5" borderId="6" xfId="0" applyNumberFormat="1" applyFont="1" applyFill="1" applyBorder="1" applyAlignment="1">
      <alignment horizontal="center" vertical="center" wrapText="1"/>
    </xf>
    <xf numFmtId="0" fontId="0" fillId="5" borderId="6" xfId="0" applyFill="1" applyBorder="1"/>
    <xf numFmtId="0" fontId="11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12" fillId="6" borderId="0" xfId="0" applyFont="1" applyFill="1" applyAlignment="1">
      <alignment horizontal="center" vertical="center" wrapText="1"/>
    </xf>
    <xf numFmtId="3" fontId="4" fillId="4" borderId="0" xfId="0" applyNumberFormat="1" applyFont="1" applyFill="1" applyAlignment="1">
      <alignment horizontal="center" vertical="center" wrapText="1"/>
    </xf>
    <xf numFmtId="3" fontId="4" fillId="4" borderId="0" xfId="0" applyNumberFormat="1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 wrapText="1"/>
    </xf>
    <xf numFmtId="3" fontId="7" fillId="4" borderId="0" xfId="0" applyNumberFormat="1" applyFont="1" applyFill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3" fontId="17" fillId="4" borderId="0" xfId="0" applyNumberFormat="1" applyFont="1" applyFill="1" applyAlignment="1">
      <alignment horizontal="center" vertical="center"/>
    </xf>
    <xf numFmtId="3" fontId="9" fillId="4" borderId="0" xfId="0" applyNumberFormat="1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3" fontId="12" fillId="2" borderId="6" xfId="0" applyNumberFormat="1" applyFont="1" applyFill="1" applyBorder="1" applyAlignment="1">
      <alignment horizontal="center" vertical="center" wrapText="1"/>
    </xf>
    <xf numFmtId="4" fontId="24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9" fontId="5" fillId="0" borderId="0" xfId="1" applyFont="1" applyAlignment="1">
      <alignment vertical="center"/>
    </xf>
    <xf numFmtId="9" fontId="24" fillId="0" borderId="0" xfId="1" applyFont="1" applyAlignment="1">
      <alignment vertical="center" wrapText="1"/>
    </xf>
    <xf numFmtId="3" fontId="0" fillId="0" borderId="0" xfId="0" applyNumberFormat="1"/>
    <xf numFmtId="3" fontId="44" fillId="0" borderId="0" xfId="0" applyNumberFormat="1" applyFont="1" applyAlignment="1">
      <alignment vertical="center"/>
    </xf>
    <xf numFmtId="1" fontId="9" fillId="0" borderId="6" xfId="0" applyNumberFormat="1" applyFont="1" applyBorder="1" applyAlignment="1">
      <alignment horizontal="center" vertical="center" wrapText="1"/>
    </xf>
    <xf numFmtId="168" fontId="4" fillId="0" borderId="6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3" fontId="30" fillId="0" borderId="0" xfId="0" applyNumberFormat="1" applyFont="1"/>
    <xf numFmtId="0" fontId="5" fillId="0" borderId="6" xfId="0" applyFont="1" applyBorder="1" applyAlignment="1">
      <alignment vertical="center"/>
    </xf>
    <xf numFmtId="4" fontId="9" fillId="3" borderId="6" xfId="0" applyNumberFormat="1" applyFont="1" applyFill="1" applyBorder="1" applyAlignment="1">
      <alignment horizontal="center" vertical="center" wrapText="1"/>
    </xf>
    <xf numFmtId="14" fontId="14" fillId="5" borderId="6" xfId="0" applyNumberFormat="1" applyFont="1" applyFill="1" applyBorder="1" applyAlignment="1">
      <alignment horizontal="center" vertical="center" wrapText="1"/>
    </xf>
    <xf numFmtId="3" fontId="17" fillId="0" borderId="6" xfId="0" applyNumberFormat="1" applyFont="1" applyBorder="1" applyAlignment="1">
      <alignment horizontal="center" vertical="center"/>
    </xf>
    <xf numFmtId="3" fontId="26" fillId="3" borderId="6" xfId="0" applyNumberFormat="1" applyFont="1" applyFill="1" applyBorder="1" applyAlignment="1">
      <alignment horizontal="left" vertical="center" wrapText="1"/>
    </xf>
    <xf numFmtId="3" fontId="24" fillId="3" borderId="6" xfId="0" applyNumberFormat="1" applyFont="1" applyFill="1" applyBorder="1" applyAlignment="1">
      <alignment horizontal="center" vertical="center" wrapText="1"/>
    </xf>
    <xf numFmtId="3" fontId="26" fillId="3" borderId="6" xfId="0" applyNumberFormat="1" applyFont="1" applyFill="1" applyBorder="1" applyAlignment="1">
      <alignment horizontal="left" vertical="center"/>
    </xf>
    <xf numFmtId="0" fontId="9" fillId="9" borderId="6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vertical="center"/>
    </xf>
    <xf numFmtId="0" fontId="9" fillId="10" borderId="6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14" fontId="9" fillId="10" borderId="6" xfId="0" applyNumberFormat="1" applyFont="1" applyFill="1" applyBorder="1" applyAlignment="1">
      <alignment horizontal="center" vertical="center" wrapText="1"/>
    </xf>
    <xf numFmtId="3" fontId="4" fillId="10" borderId="6" xfId="0" applyNumberFormat="1" applyFont="1" applyFill="1" applyBorder="1" applyAlignment="1">
      <alignment horizontal="center" vertical="center"/>
    </xf>
    <xf numFmtId="14" fontId="9" fillId="10" borderId="6" xfId="0" applyNumberFormat="1" applyFont="1" applyFill="1" applyBorder="1" applyAlignment="1">
      <alignment horizontal="center" vertical="center"/>
    </xf>
    <xf numFmtId="3" fontId="9" fillId="10" borderId="6" xfId="0" applyNumberFormat="1" applyFont="1" applyFill="1" applyBorder="1" applyAlignment="1">
      <alignment horizontal="center" vertical="center"/>
    </xf>
    <xf numFmtId="0" fontId="5" fillId="10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3" fontId="17" fillId="10" borderId="6" xfId="0" applyNumberFormat="1" applyFont="1" applyFill="1" applyBorder="1" applyAlignment="1">
      <alignment horizontal="center" vertical="center"/>
    </xf>
    <xf numFmtId="166" fontId="4" fillId="10" borderId="6" xfId="0" applyNumberFormat="1" applyFont="1" applyFill="1" applyBorder="1" applyAlignment="1">
      <alignment horizontal="center" vertical="center"/>
    </xf>
    <xf numFmtId="3" fontId="17" fillId="12" borderId="6" xfId="0" applyNumberFormat="1" applyFont="1" applyFill="1" applyBorder="1" applyAlignment="1">
      <alignment horizontal="center" vertical="center"/>
    </xf>
    <xf numFmtId="0" fontId="19" fillId="10" borderId="6" xfId="0" applyFont="1" applyFill="1" applyBorder="1" applyAlignment="1">
      <alignment horizontal="left" vertical="center" wrapText="1"/>
    </xf>
    <xf numFmtId="4" fontId="0" fillId="0" borderId="0" xfId="0" applyNumberFormat="1"/>
    <xf numFmtId="0" fontId="19" fillId="8" borderId="6" xfId="0" applyFont="1" applyFill="1" applyBorder="1" applyAlignment="1">
      <alignment horizontal="left" vertical="center" wrapText="1"/>
    </xf>
    <xf numFmtId="3" fontId="17" fillId="8" borderId="6" xfId="0" applyNumberFormat="1" applyFont="1" applyFill="1" applyBorder="1" applyAlignment="1">
      <alignment horizontal="center" vertical="center"/>
    </xf>
    <xf numFmtId="0" fontId="42" fillId="8" borderId="6" xfId="0" applyFont="1" applyFill="1" applyBorder="1" applyAlignment="1">
      <alignment horizontal="right" vertical="center" wrapText="1"/>
    </xf>
    <xf numFmtId="3" fontId="43" fillId="8" borderId="6" xfId="0" applyNumberFormat="1" applyFont="1" applyFill="1" applyBorder="1" applyAlignment="1">
      <alignment horizontal="center" vertical="center"/>
    </xf>
    <xf numFmtId="0" fontId="45" fillId="13" borderId="5" xfId="0" applyFont="1" applyFill="1" applyBorder="1" applyAlignment="1" applyProtection="1">
      <alignment vertical="center"/>
      <protection locked="0"/>
    </xf>
    <xf numFmtId="3" fontId="45" fillId="13" borderId="5" xfId="0" applyNumberFormat="1" applyFont="1" applyFill="1" applyBorder="1" applyAlignment="1">
      <alignment horizontal="center" vertical="center"/>
    </xf>
    <xf numFmtId="0" fontId="46" fillId="13" borderId="5" xfId="0" applyFont="1" applyFill="1" applyBorder="1" applyAlignment="1">
      <alignment horizontal="center" vertical="center"/>
    </xf>
    <xf numFmtId="0" fontId="46" fillId="13" borderId="5" xfId="0" applyFont="1" applyFill="1" applyBorder="1" applyAlignment="1">
      <alignment vertical="center"/>
    </xf>
    <xf numFmtId="0" fontId="47" fillId="13" borderId="16" xfId="0" applyFont="1" applyFill="1" applyBorder="1" applyAlignment="1" applyProtection="1">
      <alignment vertical="center"/>
      <protection locked="0"/>
    </xf>
    <xf numFmtId="3" fontId="47" fillId="13" borderId="16" xfId="0" applyNumberFormat="1" applyFont="1" applyFill="1" applyBorder="1" applyAlignment="1">
      <alignment horizontal="center" vertical="center"/>
    </xf>
    <xf numFmtId="0" fontId="48" fillId="13" borderId="16" xfId="0" applyFont="1" applyFill="1" applyBorder="1" applyAlignment="1">
      <alignment horizontal="center" vertical="center"/>
    </xf>
    <xf numFmtId="0" fontId="48" fillId="13" borderId="16" xfId="0" applyFont="1" applyFill="1" applyBorder="1" applyAlignment="1">
      <alignment vertical="center"/>
    </xf>
    <xf numFmtId="3" fontId="47" fillId="13" borderId="17" xfId="0" applyNumberFormat="1" applyFont="1" applyFill="1" applyBorder="1" applyAlignment="1">
      <alignment horizontal="center" vertical="center"/>
    </xf>
    <xf numFmtId="0" fontId="23" fillId="0" borderId="18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14" fontId="9" fillId="0" borderId="19" xfId="0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3" fontId="4" fillId="0" borderId="19" xfId="0" applyNumberFormat="1" applyFont="1" applyBorder="1" applyAlignment="1">
      <alignment horizontal="center" vertical="center"/>
    </xf>
    <xf numFmtId="3" fontId="9" fillId="0" borderId="19" xfId="0" applyNumberFormat="1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/>
    </xf>
    <xf numFmtId="0" fontId="33" fillId="0" borderId="20" xfId="0" applyFont="1" applyBorder="1" applyAlignment="1">
      <alignment vertical="center"/>
    </xf>
    <xf numFmtId="49" fontId="9" fillId="0" borderId="6" xfId="0" applyNumberFormat="1" applyFont="1" applyBorder="1" applyAlignment="1">
      <alignment horizontal="center" vertical="center" wrapText="1"/>
    </xf>
    <xf numFmtId="0" fontId="36" fillId="0" borderId="6" xfId="0" applyFont="1" applyBorder="1" applyAlignment="1">
      <alignment horizontal="left" vertical="center" wrapText="1"/>
    </xf>
    <xf numFmtId="0" fontId="16" fillId="12" borderId="6" xfId="0" applyFont="1" applyFill="1" applyBorder="1" applyAlignment="1">
      <alignment horizontal="left" vertical="center" wrapText="1"/>
    </xf>
    <xf numFmtId="3" fontId="26" fillId="12" borderId="6" xfId="0" applyNumberFormat="1" applyFont="1" applyFill="1" applyBorder="1" applyAlignment="1">
      <alignment horizontal="left" vertical="center"/>
    </xf>
    <xf numFmtId="3" fontId="24" fillId="12" borderId="6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0" fontId="5" fillId="8" borderId="14" xfId="0" applyFont="1" applyFill="1" applyBorder="1" applyAlignment="1">
      <alignment vertical="center"/>
    </xf>
    <xf numFmtId="0" fontId="5" fillId="14" borderId="14" xfId="0" applyFont="1" applyFill="1" applyBorder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166" fontId="9" fillId="0" borderId="5" xfId="0" applyNumberFormat="1" applyFont="1" applyBorder="1" applyAlignment="1">
      <alignment horizontal="center" vertical="center" wrapText="1"/>
    </xf>
    <xf numFmtId="3" fontId="47" fillId="13" borderId="21" xfId="0" applyNumberFormat="1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 wrapText="1"/>
    </xf>
    <xf numFmtId="3" fontId="33" fillId="0" borderId="0" xfId="0" applyNumberFormat="1" applyFont="1" applyAlignment="1">
      <alignment vertical="center"/>
    </xf>
    <xf numFmtId="3" fontId="2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/>
    </xf>
    <xf numFmtId="0" fontId="9" fillId="16" borderId="6" xfId="0" applyFont="1" applyFill="1" applyBorder="1" applyAlignment="1">
      <alignment horizontal="center" vertical="center" wrapText="1"/>
    </xf>
    <xf numFmtId="0" fontId="5" fillId="16" borderId="0" xfId="0" applyFont="1" applyFill="1" applyAlignment="1">
      <alignment vertical="center"/>
    </xf>
    <xf numFmtId="3" fontId="14" fillId="0" borderId="6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3" fontId="26" fillId="3" borderId="9" xfId="0" applyNumberFormat="1" applyFont="1" applyFill="1" applyBorder="1" applyAlignment="1">
      <alignment horizontal="left" vertical="center"/>
    </xf>
    <xf numFmtId="0" fontId="36" fillId="0" borderId="9" xfId="0" applyFont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52" fillId="0" borderId="14" xfId="0" applyFont="1" applyBorder="1" applyAlignment="1">
      <alignment horizontal="center" vertical="center"/>
    </xf>
    <xf numFmtId="0" fontId="52" fillId="5" borderId="1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51" fillId="4" borderId="0" xfId="0" applyFont="1" applyFill="1" applyAlignment="1">
      <alignment horizontal="center" vertical="center"/>
    </xf>
    <xf numFmtId="14" fontId="0" fillId="4" borderId="0" xfId="0" applyNumberFormat="1" applyFill="1" applyAlignment="1">
      <alignment vertical="center"/>
    </xf>
    <xf numFmtId="0" fontId="0" fillId="4" borderId="0" xfId="0" applyFill="1"/>
    <xf numFmtId="166" fontId="9" fillId="4" borderId="6" xfId="0" applyNumberFormat="1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2" fillId="0" borderId="0" xfId="0" applyFont="1" applyAlignment="1">
      <alignment vertical="center"/>
    </xf>
    <xf numFmtId="14" fontId="14" fillId="0" borderId="0" xfId="0" applyNumberFormat="1" applyFont="1" applyAlignment="1">
      <alignment vertical="center" wrapText="1"/>
    </xf>
    <xf numFmtId="14" fontId="14" fillId="0" borderId="6" xfId="0" applyNumberFormat="1" applyFont="1" applyBorder="1" applyAlignment="1">
      <alignment vertical="center" wrapText="1"/>
    </xf>
    <xf numFmtId="14" fontId="14" fillId="4" borderId="6" xfId="0" applyNumberFormat="1" applyFont="1" applyFill="1" applyBorder="1" applyAlignment="1">
      <alignment horizontal="center" vertical="center" wrapText="1"/>
    </xf>
    <xf numFmtId="3" fontId="4" fillId="4" borderId="6" xfId="0" applyNumberFormat="1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0" fillId="0" borderId="6" xfId="0" applyBorder="1"/>
    <xf numFmtId="4" fontId="17" fillId="10" borderId="6" xfId="0" applyNumberFormat="1" applyFont="1" applyFill="1" applyBorder="1" applyAlignment="1">
      <alignment horizontal="center" vertical="center"/>
    </xf>
    <xf numFmtId="4" fontId="9" fillId="0" borderId="6" xfId="0" applyNumberFormat="1" applyFont="1" applyBorder="1" applyAlignment="1">
      <alignment horizontal="center" vertical="center"/>
    </xf>
    <xf numFmtId="49" fontId="9" fillId="4" borderId="6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5" fillId="10" borderId="6" xfId="0" applyFont="1" applyFill="1" applyBorder="1" applyAlignment="1">
      <alignment vertical="center"/>
    </xf>
    <xf numFmtId="14" fontId="9" fillId="0" borderId="9" xfId="0" applyNumberFormat="1" applyFont="1" applyBorder="1" applyAlignment="1">
      <alignment horizontal="center" vertical="center" wrapText="1"/>
    </xf>
    <xf numFmtId="3" fontId="17" fillId="3" borderId="14" xfId="0" applyNumberFormat="1" applyFont="1" applyFill="1" applyBorder="1" applyAlignment="1">
      <alignment horizontal="center" vertical="center"/>
    </xf>
    <xf numFmtId="3" fontId="17" fillId="3" borderId="23" xfId="0" applyNumberFormat="1" applyFont="1" applyFill="1" applyBorder="1" applyAlignment="1">
      <alignment horizontal="center" vertical="center"/>
    </xf>
    <xf numFmtId="3" fontId="17" fillId="10" borderId="2" xfId="0" applyNumberFormat="1" applyFont="1" applyFill="1" applyBorder="1" applyAlignment="1">
      <alignment horizontal="center" vertical="center"/>
    </xf>
    <xf numFmtId="3" fontId="24" fillId="3" borderId="29" xfId="0" applyNumberFormat="1" applyFont="1" applyFill="1" applyBorder="1" applyAlignment="1">
      <alignment horizontal="center" vertical="center" wrapText="1"/>
    </xf>
    <xf numFmtId="3" fontId="26" fillId="3" borderId="22" xfId="0" applyNumberFormat="1" applyFont="1" applyFill="1" applyBorder="1" applyAlignment="1">
      <alignment horizontal="left" vertical="center"/>
    </xf>
    <xf numFmtId="3" fontId="24" fillId="3" borderId="31" xfId="0" applyNumberFormat="1" applyFont="1" applyFill="1" applyBorder="1" applyAlignment="1">
      <alignment horizontal="center" vertical="center" wrapText="1"/>
    </xf>
    <xf numFmtId="3" fontId="24" fillId="3" borderId="14" xfId="0" applyNumberFormat="1" applyFont="1" applyFill="1" applyBorder="1" applyAlignment="1">
      <alignment horizontal="center" vertical="center" wrapText="1"/>
    </xf>
    <xf numFmtId="3" fontId="24" fillId="3" borderId="37" xfId="0" applyNumberFormat="1" applyFont="1" applyFill="1" applyBorder="1" applyAlignment="1">
      <alignment horizontal="center" vertical="center" wrapText="1"/>
    </xf>
    <xf numFmtId="4" fontId="17" fillId="10" borderId="33" xfId="0" applyNumberFormat="1" applyFont="1" applyFill="1" applyBorder="1" applyAlignment="1">
      <alignment horizontal="center" vertical="center"/>
    </xf>
    <xf numFmtId="3" fontId="17" fillId="10" borderId="12" xfId="0" applyNumberFormat="1" applyFont="1" applyFill="1" applyBorder="1" applyAlignment="1">
      <alignment horizontal="center" vertical="center"/>
    </xf>
    <xf numFmtId="4" fontId="17" fillId="10" borderId="12" xfId="0" applyNumberFormat="1" applyFont="1" applyFill="1" applyBorder="1" applyAlignment="1">
      <alignment horizontal="center" vertical="center"/>
    </xf>
    <xf numFmtId="4" fontId="17" fillId="10" borderId="38" xfId="0" applyNumberFormat="1" applyFont="1" applyFill="1" applyBorder="1" applyAlignment="1">
      <alignment horizontal="center" vertical="center"/>
    </xf>
    <xf numFmtId="4" fontId="17" fillId="10" borderId="2" xfId="0" applyNumberFormat="1" applyFont="1" applyFill="1" applyBorder="1" applyAlignment="1">
      <alignment horizontal="center" vertical="center"/>
    </xf>
    <xf numFmtId="4" fontId="17" fillId="10" borderId="36" xfId="0" applyNumberFormat="1" applyFont="1" applyFill="1" applyBorder="1" applyAlignment="1">
      <alignment horizontal="center" vertical="center"/>
    </xf>
    <xf numFmtId="4" fontId="17" fillId="3" borderId="14" xfId="0" applyNumberFormat="1" applyFont="1" applyFill="1" applyBorder="1" applyAlignment="1">
      <alignment horizontal="center" vertical="center"/>
    </xf>
    <xf numFmtId="4" fontId="17" fillId="3" borderId="24" xfId="0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" fontId="9" fillId="0" borderId="5" xfId="0" applyNumberFormat="1" applyFont="1" applyBorder="1" applyAlignment="1">
      <alignment horizontal="center" vertical="center"/>
    </xf>
    <xf numFmtId="4" fontId="4" fillId="0" borderId="6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3" fontId="54" fillId="0" borderId="0" xfId="0" applyNumberFormat="1" applyFont="1" applyAlignment="1">
      <alignment horizontal="center" vertical="center"/>
    </xf>
    <xf numFmtId="4" fontId="17" fillId="3" borderId="0" xfId="0" applyNumberFormat="1" applyFont="1" applyFill="1" applyAlignment="1">
      <alignment horizontal="center" vertical="center"/>
    </xf>
    <xf numFmtId="4" fontId="17" fillId="10" borderId="0" xfId="0" applyNumberFormat="1" applyFont="1" applyFill="1" applyAlignment="1">
      <alignment horizontal="center" vertical="center"/>
    </xf>
    <xf numFmtId="4" fontId="4" fillId="4" borderId="6" xfId="0" applyNumberFormat="1" applyFont="1" applyFill="1" applyBorder="1" applyAlignment="1">
      <alignment horizontal="center" vertical="center"/>
    </xf>
    <xf numFmtId="4" fontId="9" fillId="10" borderId="6" xfId="0" applyNumberFormat="1" applyFont="1" applyFill="1" applyBorder="1" applyAlignment="1">
      <alignment horizontal="center" vertical="center"/>
    </xf>
    <xf numFmtId="4" fontId="45" fillId="13" borderId="5" xfId="0" applyNumberFormat="1" applyFont="1" applyFill="1" applyBorder="1" applyAlignment="1">
      <alignment horizontal="center" vertical="center"/>
    </xf>
    <xf numFmtId="4" fontId="4" fillId="10" borderId="6" xfId="0" applyNumberFormat="1" applyFont="1" applyFill="1" applyBorder="1" applyAlignment="1">
      <alignment horizontal="center" vertical="center"/>
    </xf>
    <xf numFmtId="0" fontId="9" fillId="19" borderId="6" xfId="0" applyFont="1" applyFill="1" applyBorder="1" applyAlignment="1">
      <alignment horizontal="center" vertical="center" wrapText="1"/>
    </xf>
    <xf numFmtId="14" fontId="9" fillId="19" borderId="6" xfId="0" applyNumberFormat="1" applyFont="1" applyFill="1" applyBorder="1" applyAlignment="1">
      <alignment horizontal="center" vertical="center" wrapText="1"/>
    </xf>
    <xf numFmtId="49" fontId="4" fillId="19" borderId="6" xfId="0" applyNumberFormat="1" applyFont="1" applyFill="1" applyBorder="1" applyAlignment="1">
      <alignment horizontal="center" vertical="center" wrapText="1"/>
    </xf>
    <xf numFmtId="3" fontId="9" fillId="19" borderId="6" xfId="0" applyNumberFormat="1" applyFont="1" applyFill="1" applyBorder="1" applyAlignment="1">
      <alignment horizontal="center" vertical="center"/>
    </xf>
    <xf numFmtId="4" fontId="9" fillId="19" borderId="6" xfId="0" applyNumberFormat="1" applyFont="1" applyFill="1" applyBorder="1" applyAlignment="1">
      <alignment horizontal="center" vertical="center"/>
    </xf>
    <xf numFmtId="3" fontId="9" fillId="19" borderId="6" xfId="0" applyNumberFormat="1" applyFont="1" applyFill="1" applyBorder="1" applyAlignment="1">
      <alignment horizontal="center" vertical="center" wrapText="1"/>
    </xf>
    <xf numFmtId="14" fontId="4" fillId="19" borderId="6" xfId="0" applyNumberFormat="1" applyFont="1" applyFill="1" applyBorder="1" applyAlignment="1">
      <alignment horizontal="center" vertical="center"/>
    </xf>
    <xf numFmtId="14" fontId="35" fillId="19" borderId="6" xfId="0" applyNumberFormat="1" applyFont="1" applyFill="1" applyBorder="1" applyAlignment="1">
      <alignment horizontal="center" vertical="center" wrapText="1"/>
    </xf>
    <xf numFmtId="14" fontId="4" fillId="19" borderId="6" xfId="0" applyNumberFormat="1" applyFont="1" applyFill="1" applyBorder="1" applyAlignment="1">
      <alignment horizontal="center" vertical="center" wrapText="1"/>
    </xf>
    <xf numFmtId="0" fontId="5" fillId="19" borderId="0" xfId="0" applyFont="1" applyFill="1" applyAlignment="1">
      <alignment vertical="center"/>
    </xf>
    <xf numFmtId="168" fontId="4" fillId="19" borderId="9" xfId="0" applyNumberFormat="1" applyFont="1" applyFill="1" applyBorder="1" applyAlignment="1">
      <alignment horizontal="center" vertical="center" wrapText="1"/>
    </xf>
    <xf numFmtId="3" fontId="4" fillId="19" borderId="6" xfId="0" applyNumberFormat="1" applyFont="1" applyFill="1" applyBorder="1" applyAlignment="1">
      <alignment horizontal="center" vertical="center"/>
    </xf>
    <xf numFmtId="4" fontId="4" fillId="19" borderId="6" xfId="0" applyNumberFormat="1" applyFont="1" applyFill="1" applyBorder="1" applyAlignment="1">
      <alignment horizontal="center" vertical="center"/>
    </xf>
    <xf numFmtId="166" fontId="9" fillId="19" borderId="6" xfId="0" applyNumberFormat="1" applyFont="1" applyFill="1" applyBorder="1" applyAlignment="1">
      <alignment horizontal="center" vertical="center" wrapText="1"/>
    </xf>
    <xf numFmtId="14" fontId="9" fillId="19" borderId="6" xfId="0" applyNumberFormat="1" applyFont="1" applyFill="1" applyBorder="1" applyAlignment="1">
      <alignment horizontal="center" vertical="center"/>
    </xf>
    <xf numFmtId="0" fontId="4" fillId="19" borderId="6" xfId="0" applyFont="1" applyFill="1" applyBorder="1" applyAlignment="1">
      <alignment horizontal="center" vertical="center" wrapText="1"/>
    </xf>
    <xf numFmtId="168" fontId="4" fillId="19" borderId="6" xfId="0" applyNumberFormat="1" applyFont="1" applyFill="1" applyBorder="1" applyAlignment="1">
      <alignment horizontal="center" vertical="center" wrapText="1"/>
    </xf>
    <xf numFmtId="1" fontId="4" fillId="19" borderId="6" xfId="0" applyNumberFormat="1" applyFont="1" applyFill="1" applyBorder="1" applyAlignment="1">
      <alignment horizontal="center" vertical="center" wrapText="1"/>
    </xf>
    <xf numFmtId="4" fontId="4" fillId="19" borderId="6" xfId="0" applyNumberFormat="1" applyFont="1" applyFill="1" applyBorder="1" applyAlignment="1">
      <alignment horizontal="center" vertical="center" wrapText="1"/>
    </xf>
    <xf numFmtId="3" fontId="1" fillId="4" borderId="6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3" fontId="40" fillId="0" borderId="0" xfId="0" applyNumberFormat="1" applyFont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 wrapText="1"/>
    </xf>
    <xf numFmtId="0" fontId="16" fillId="3" borderId="29" xfId="0" applyFont="1" applyFill="1" applyBorder="1" applyAlignment="1">
      <alignment horizontal="center" vertical="center" wrapText="1"/>
    </xf>
    <xf numFmtId="0" fontId="16" fillId="3" borderId="37" xfId="0" applyFont="1" applyFill="1" applyBorder="1" applyAlignment="1">
      <alignment horizontal="center" vertical="center" wrapText="1"/>
    </xf>
    <xf numFmtId="3" fontId="7" fillId="3" borderId="14" xfId="0" applyNumberFormat="1" applyFont="1" applyFill="1" applyBorder="1" applyAlignment="1">
      <alignment horizontal="center" vertical="center"/>
    </xf>
    <xf numFmtId="3" fontId="7" fillId="3" borderId="23" xfId="0" applyNumberFormat="1" applyFont="1" applyFill="1" applyBorder="1" applyAlignment="1">
      <alignment horizontal="center" vertical="center"/>
    </xf>
    <xf numFmtId="4" fontId="7" fillId="3" borderId="14" xfId="0" applyNumberFormat="1" applyFont="1" applyFill="1" applyBorder="1" applyAlignment="1">
      <alignment horizontal="center" vertical="center"/>
    </xf>
    <xf numFmtId="166" fontId="7" fillId="3" borderId="31" xfId="0" applyNumberFormat="1" applyFont="1" applyFill="1" applyBorder="1" applyAlignment="1">
      <alignment horizontal="center" vertical="center"/>
    </xf>
    <xf numFmtId="166" fontId="7" fillId="3" borderId="29" xfId="0" applyNumberFormat="1" applyFont="1" applyFill="1" applyBorder="1" applyAlignment="1">
      <alignment horizontal="center" vertical="center"/>
    </xf>
    <xf numFmtId="3" fontId="7" fillId="3" borderId="29" xfId="0" applyNumberFormat="1" applyFont="1" applyFill="1" applyBorder="1" applyAlignment="1">
      <alignment horizontal="center" vertical="center"/>
    </xf>
    <xf numFmtId="3" fontId="7" fillId="3" borderId="37" xfId="0" applyNumberFormat="1" applyFont="1" applyFill="1" applyBorder="1" applyAlignment="1">
      <alignment horizontal="center" vertical="center"/>
    </xf>
    <xf numFmtId="3" fontId="7" fillId="3" borderId="30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2" fillId="2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14" fontId="56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/>
    </xf>
    <xf numFmtId="165" fontId="56" fillId="0" borderId="6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3" fontId="56" fillId="0" borderId="6" xfId="0" applyNumberFormat="1" applyFont="1" applyBorder="1" applyAlignment="1">
      <alignment horizontal="center" vertical="center"/>
    </xf>
    <xf numFmtId="14" fontId="56" fillId="19" borderId="6" xfId="0" applyNumberFormat="1" applyFont="1" applyFill="1" applyBorder="1" applyAlignment="1">
      <alignment horizontal="center" vertical="center"/>
    </xf>
    <xf numFmtId="14" fontId="56" fillId="16" borderId="6" xfId="0" applyNumberFormat="1" applyFont="1" applyFill="1" applyBorder="1" applyAlignment="1">
      <alignment horizontal="center" vertical="center"/>
    </xf>
    <xf numFmtId="14" fontId="56" fillId="15" borderId="6" xfId="0" applyNumberFormat="1" applyFont="1" applyFill="1" applyBorder="1" applyAlignment="1">
      <alignment horizontal="center" vertical="center"/>
    </xf>
    <xf numFmtId="4" fontId="56" fillId="0" borderId="6" xfId="0" applyNumberFormat="1" applyFont="1" applyBorder="1" applyAlignment="1">
      <alignment horizontal="center" vertical="center"/>
    </xf>
    <xf numFmtId="166" fontId="56" fillId="0" borderId="6" xfId="0" applyNumberFormat="1" applyFont="1" applyBorder="1" applyAlignment="1">
      <alignment horizontal="center" vertical="center"/>
    </xf>
    <xf numFmtId="1" fontId="56" fillId="0" borderId="6" xfId="0" applyNumberFormat="1" applyFont="1" applyBorder="1" applyAlignment="1">
      <alignment horizontal="center" vertical="center"/>
    </xf>
    <xf numFmtId="14" fontId="56" fillId="10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49" fontId="56" fillId="0" borderId="6" xfId="0" applyNumberFormat="1" applyFont="1" applyBorder="1" applyAlignment="1">
      <alignment horizontal="center" vertical="center"/>
    </xf>
    <xf numFmtId="14" fontId="56" fillId="0" borderId="5" xfId="0" applyNumberFormat="1" applyFont="1" applyBorder="1" applyAlignment="1">
      <alignment horizontal="center" vertical="center"/>
    </xf>
    <xf numFmtId="3" fontId="56" fillId="0" borderId="5" xfId="0" applyNumberFormat="1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14" fontId="56" fillId="0" borderId="8" xfId="0" applyNumberFormat="1" applyFont="1" applyBorder="1" applyAlignment="1">
      <alignment horizontal="center" vertical="center"/>
    </xf>
    <xf numFmtId="14" fontId="56" fillId="0" borderId="41" xfId="0" applyNumberFormat="1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49" fontId="56" fillId="0" borderId="5" xfId="0" applyNumberFormat="1" applyFont="1" applyBorder="1" applyAlignment="1">
      <alignment horizontal="center" vertical="center"/>
    </xf>
    <xf numFmtId="0" fontId="56" fillId="0" borderId="6" xfId="0" applyFont="1" applyBorder="1" applyAlignment="1">
      <alignment horizontal="left" vertical="center"/>
    </xf>
    <xf numFmtId="0" fontId="57" fillId="0" borderId="6" xfId="0" applyFont="1" applyBorder="1" applyAlignment="1">
      <alignment horizontal="left" vertical="center"/>
    </xf>
    <xf numFmtId="14" fontId="56" fillId="0" borderId="6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left" vertical="center"/>
    </xf>
    <xf numFmtId="4" fontId="1" fillId="0" borderId="6" xfId="0" applyNumberFormat="1" applyFont="1" applyBorder="1" applyAlignment="1">
      <alignment horizontal="left" vertical="center"/>
    </xf>
    <xf numFmtId="14" fontId="1" fillId="0" borderId="6" xfId="0" applyNumberFormat="1" applyFont="1" applyBorder="1" applyAlignment="1">
      <alignment horizontal="left" vertical="center"/>
    </xf>
    <xf numFmtId="3" fontId="56" fillId="0" borderId="6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68" fontId="1" fillId="0" borderId="6" xfId="0" applyNumberFormat="1" applyFont="1" applyBorder="1" applyAlignment="1">
      <alignment horizontal="left" vertical="center"/>
    </xf>
    <xf numFmtId="3" fontId="1" fillId="4" borderId="6" xfId="0" applyNumberFormat="1" applyFont="1" applyFill="1" applyBorder="1" applyAlignment="1">
      <alignment horizontal="left" vertical="center"/>
    </xf>
    <xf numFmtId="0" fontId="56" fillId="19" borderId="6" xfId="0" applyFont="1" applyFill="1" applyBorder="1" applyAlignment="1">
      <alignment horizontal="left" vertical="center"/>
    </xf>
    <xf numFmtId="0" fontId="57" fillId="19" borderId="6" xfId="0" applyFont="1" applyFill="1" applyBorder="1" applyAlignment="1">
      <alignment horizontal="left" vertical="center"/>
    </xf>
    <xf numFmtId="14" fontId="56" fillId="19" borderId="6" xfId="0" applyNumberFormat="1" applyFont="1" applyFill="1" applyBorder="1" applyAlignment="1">
      <alignment horizontal="left" vertical="center"/>
    </xf>
    <xf numFmtId="49" fontId="1" fillId="19" borderId="6" xfId="0" applyNumberFormat="1" applyFont="1" applyFill="1" applyBorder="1" applyAlignment="1">
      <alignment horizontal="left" vertical="center"/>
    </xf>
    <xf numFmtId="3" fontId="1" fillId="19" borderId="6" xfId="0" applyNumberFormat="1" applyFont="1" applyFill="1" applyBorder="1" applyAlignment="1">
      <alignment horizontal="left" vertical="center"/>
    </xf>
    <xf numFmtId="4" fontId="1" fillId="19" borderId="6" xfId="0" applyNumberFormat="1" applyFont="1" applyFill="1" applyBorder="1" applyAlignment="1">
      <alignment horizontal="left" vertical="center"/>
    </xf>
    <xf numFmtId="166" fontId="56" fillId="19" borderId="6" xfId="0" applyNumberFormat="1" applyFont="1" applyFill="1" applyBorder="1" applyAlignment="1">
      <alignment horizontal="left" vertical="center"/>
    </xf>
    <xf numFmtId="3" fontId="56" fillId="19" borderId="6" xfId="0" applyNumberFormat="1" applyFont="1" applyFill="1" applyBorder="1" applyAlignment="1">
      <alignment horizontal="left" vertical="center"/>
    </xf>
    <xf numFmtId="14" fontId="60" fillId="19" borderId="6" xfId="0" applyNumberFormat="1" applyFont="1" applyFill="1" applyBorder="1" applyAlignment="1">
      <alignment horizontal="left" vertical="center"/>
    </xf>
    <xf numFmtId="14" fontId="1" fillId="19" borderId="6" xfId="0" applyNumberFormat="1" applyFont="1" applyFill="1" applyBorder="1" applyAlignment="1">
      <alignment horizontal="left" vertical="center"/>
    </xf>
    <xf numFmtId="0" fontId="56" fillId="16" borderId="6" xfId="0" applyFont="1" applyFill="1" applyBorder="1" applyAlignment="1">
      <alignment horizontal="left" vertical="center"/>
    </xf>
    <xf numFmtId="0" fontId="57" fillId="16" borderId="6" xfId="0" applyFont="1" applyFill="1" applyBorder="1" applyAlignment="1">
      <alignment horizontal="left" vertical="center"/>
    </xf>
    <xf numFmtId="14" fontId="56" fillId="16" borderId="6" xfId="0" applyNumberFormat="1" applyFont="1" applyFill="1" applyBorder="1" applyAlignment="1">
      <alignment horizontal="left" vertical="center"/>
    </xf>
    <xf numFmtId="49" fontId="1" fillId="16" borderId="6" xfId="0" applyNumberFormat="1" applyFont="1" applyFill="1" applyBorder="1" applyAlignment="1">
      <alignment horizontal="left" vertical="center"/>
    </xf>
    <xf numFmtId="3" fontId="1" fillId="16" borderId="6" xfId="0" applyNumberFormat="1" applyFont="1" applyFill="1" applyBorder="1" applyAlignment="1">
      <alignment horizontal="left" vertical="center"/>
    </xf>
    <xf numFmtId="4" fontId="1" fillId="16" borderId="6" xfId="0" applyNumberFormat="1" applyFont="1" applyFill="1" applyBorder="1" applyAlignment="1">
      <alignment horizontal="left" vertical="center"/>
    </xf>
    <xf numFmtId="166" fontId="56" fillId="16" borderId="6" xfId="0" applyNumberFormat="1" applyFont="1" applyFill="1" applyBorder="1" applyAlignment="1">
      <alignment horizontal="left" vertical="center"/>
    </xf>
    <xf numFmtId="3" fontId="56" fillId="16" borderId="6" xfId="0" applyNumberFormat="1" applyFont="1" applyFill="1" applyBorder="1" applyAlignment="1">
      <alignment horizontal="left" vertical="center"/>
    </xf>
    <xf numFmtId="14" fontId="60" fillId="16" borderId="6" xfId="0" applyNumberFormat="1" applyFont="1" applyFill="1" applyBorder="1" applyAlignment="1">
      <alignment horizontal="left" vertical="center"/>
    </xf>
    <xf numFmtId="14" fontId="1" fillId="16" borderId="6" xfId="0" applyNumberFormat="1" applyFont="1" applyFill="1" applyBorder="1" applyAlignment="1">
      <alignment horizontal="left" vertical="center"/>
    </xf>
    <xf numFmtId="1" fontId="1" fillId="19" borderId="6" xfId="0" applyNumberFormat="1" applyFont="1" applyFill="1" applyBorder="1" applyAlignment="1">
      <alignment horizontal="left" vertical="center"/>
    </xf>
    <xf numFmtId="0" fontId="56" fillId="4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4" fontId="1" fillId="4" borderId="6" xfId="0" applyNumberFormat="1" applyFont="1" applyFill="1" applyBorder="1" applyAlignment="1">
      <alignment horizontal="left" vertical="center"/>
    </xf>
    <xf numFmtId="0" fontId="1" fillId="19" borderId="6" xfId="0" applyFont="1" applyFill="1" applyBorder="1" applyAlignment="1">
      <alignment horizontal="left" vertical="center"/>
    </xf>
    <xf numFmtId="0" fontId="57" fillId="15" borderId="6" xfId="0" applyFont="1" applyFill="1" applyBorder="1" applyAlignment="1">
      <alignment horizontal="left" vertical="center"/>
    </xf>
    <xf numFmtId="0" fontId="56" fillId="9" borderId="6" xfId="0" applyFont="1" applyFill="1" applyBorder="1" applyAlignment="1">
      <alignment horizontal="left" vertical="center"/>
    </xf>
    <xf numFmtId="1" fontId="56" fillId="9" borderId="6" xfId="0" applyNumberFormat="1" applyFont="1" applyFill="1" applyBorder="1" applyAlignment="1">
      <alignment horizontal="left" vertical="center"/>
    </xf>
    <xf numFmtId="3" fontId="1" fillId="9" borderId="6" xfId="0" applyNumberFormat="1" applyFont="1" applyFill="1" applyBorder="1" applyAlignment="1">
      <alignment horizontal="left" vertical="center"/>
    </xf>
    <xf numFmtId="4" fontId="1" fillId="9" borderId="6" xfId="0" applyNumberFormat="1" applyFont="1" applyFill="1" applyBorder="1" applyAlignment="1">
      <alignment horizontal="left" vertical="center"/>
    </xf>
    <xf numFmtId="3" fontId="56" fillId="9" borderId="6" xfId="0" applyNumberFormat="1" applyFont="1" applyFill="1" applyBorder="1" applyAlignment="1">
      <alignment horizontal="left" vertical="center"/>
    </xf>
    <xf numFmtId="14" fontId="56" fillId="9" borderId="6" xfId="0" applyNumberFormat="1" applyFont="1" applyFill="1" applyBorder="1" applyAlignment="1">
      <alignment horizontal="left" vertical="center"/>
    </xf>
    <xf numFmtId="168" fontId="1" fillId="19" borderId="6" xfId="0" applyNumberFormat="1" applyFont="1" applyFill="1" applyBorder="1" applyAlignment="1">
      <alignment horizontal="left" vertical="center"/>
    </xf>
    <xf numFmtId="3" fontId="56" fillId="4" borderId="6" xfId="0" applyNumberFormat="1" applyFont="1" applyFill="1" applyBorder="1" applyAlignment="1">
      <alignment horizontal="left" vertical="center"/>
    </xf>
    <xf numFmtId="4" fontId="56" fillId="19" borderId="6" xfId="0" applyNumberFormat="1" applyFont="1" applyFill="1" applyBorder="1" applyAlignment="1">
      <alignment horizontal="left" vertical="center"/>
    </xf>
    <xf numFmtId="4" fontId="56" fillId="0" borderId="6" xfId="0" applyNumberFormat="1" applyFont="1" applyBorder="1" applyAlignment="1">
      <alignment horizontal="left" vertical="center"/>
    </xf>
    <xf numFmtId="166" fontId="56" fillId="0" borderId="6" xfId="0" applyNumberFormat="1" applyFont="1" applyBorder="1" applyAlignment="1">
      <alignment horizontal="left" vertical="center"/>
    </xf>
    <xf numFmtId="168" fontId="1" fillId="16" borderId="6" xfId="0" applyNumberFormat="1" applyFont="1" applyFill="1" applyBorder="1" applyAlignment="1">
      <alignment horizontal="left" vertical="center"/>
    </xf>
    <xf numFmtId="4" fontId="56" fillId="16" borderId="6" xfId="0" applyNumberFormat="1" applyFont="1" applyFill="1" applyBorder="1" applyAlignment="1">
      <alignment horizontal="left" vertical="center"/>
    </xf>
    <xf numFmtId="14" fontId="60" fillId="5" borderId="6" xfId="0" applyNumberFormat="1" applyFont="1" applyFill="1" applyBorder="1" applyAlignment="1">
      <alignment horizontal="left" vertical="center"/>
    </xf>
    <xf numFmtId="1" fontId="56" fillId="0" borderId="6" xfId="0" applyNumberFormat="1" applyFont="1" applyBorder="1" applyAlignment="1">
      <alignment horizontal="left" vertical="center"/>
    </xf>
    <xf numFmtId="0" fontId="56" fillId="10" borderId="6" xfId="0" applyFont="1" applyFill="1" applyBorder="1" applyAlignment="1">
      <alignment horizontal="left" vertical="center"/>
    </xf>
    <xf numFmtId="0" fontId="57" fillId="10" borderId="6" xfId="0" applyFont="1" applyFill="1" applyBorder="1" applyAlignment="1">
      <alignment horizontal="left" vertical="center"/>
    </xf>
    <xf numFmtId="14" fontId="56" fillId="10" borderId="6" xfId="0" applyNumberFormat="1" applyFont="1" applyFill="1" applyBorder="1" applyAlignment="1">
      <alignment horizontal="left" vertical="center"/>
    </xf>
    <xf numFmtId="1" fontId="56" fillId="10" borderId="6" xfId="0" applyNumberFormat="1" applyFont="1" applyFill="1" applyBorder="1" applyAlignment="1">
      <alignment horizontal="left" vertical="center"/>
    </xf>
    <xf numFmtId="49" fontId="1" fillId="10" borderId="6" xfId="0" applyNumberFormat="1" applyFont="1" applyFill="1" applyBorder="1" applyAlignment="1">
      <alignment horizontal="left" vertical="center"/>
    </xf>
    <xf numFmtId="3" fontId="56" fillId="10" borderId="6" xfId="0" applyNumberFormat="1" applyFont="1" applyFill="1" applyBorder="1" applyAlignment="1">
      <alignment horizontal="left" vertical="center"/>
    </xf>
    <xf numFmtId="4" fontId="56" fillId="10" borderId="6" xfId="0" applyNumberFormat="1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49" fontId="56" fillId="0" borderId="6" xfId="0" applyNumberFormat="1" applyFont="1" applyBorder="1" applyAlignment="1">
      <alignment horizontal="left" vertical="center"/>
    </xf>
    <xf numFmtId="0" fontId="1" fillId="0" borderId="6" xfId="0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56" fillId="4" borderId="6" xfId="0" applyNumberFormat="1" applyFont="1" applyFill="1" applyBorder="1" applyAlignment="1">
      <alignment horizontal="center" vertical="center"/>
    </xf>
    <xf numFmtId="4" fontId="1" fillId="5" borderId="6" xfId="0" applyNumberFormat="1" applyFont="1" applyFill="1" applyBorder="1" applyAlignment="1">
      <alignment horizontal="center" vertical="center"/>
    </xf>
    <xf numFmtId="168" fontId="1" fillId="0" borderId="6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3" fontId="56" fillId="0" borderId="6" xfId="0" applyNumberFormat="1" applyFont="1" applyBorder="1" applyAlignment="1">
      <alignment horizontal="center" vertical="center" wrapText="1"/>
    </xf>
    <xf numFmtId="165" fontId="56" fillId="0" borderId="6" xfId="0" applyNumberFormat="1" applyFont="1" applyBorder="1" applyAlignment="1">
      <alignment horizontal="center" vertical="center" wrapText="1"/>
    </xf>
    <xf numFmtId="1" fontId="56" fillId="0" borderId="6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4" fontId="60" fillId="0" borderId="6" xfId="0" applyNumberFormat="1" applyFont="1" applyBorder="1" applyAlignment="1">
      <alignment horizontal="center" vertical="center"/>
    </xf>
    <xf numFmtId="2" fontId="56" fillId="0" borderId="6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top"/>
    </xf>
    <xf numFmtId="2" fontId="1" fillId="0" borderId="6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56" fillId="0" borderId="9" xfId="0" applyFont="1" applyBorder="1" applyAlignment="1">
      <alignment horizontal="left" vertical="center"/>
    </xf>
    <xf numFmtId="0" fontId="56" fillId="19" borderId="9" xfId="0" applyFont="1" applyFill="1" applyBorder="1" applyAlignment="1">
      <alignment horizontal="left" vertical="center"/>
    </xf>
    <xf numFmtId="0" fontId="56" fillId="16" borderId="9" xfId="0" applyFont="1" applyFill="1" applyBorder="1" applyAlignment="1">
      <alignment horizontal="left" vertical="center"/>
    </xf>
    <xf numFmtId="0" fontId="56" fillId="15" borderId="9" xfId="0" applyFont="1" applyFill="1" applyBorder="1" applyAlignment="1">
      <alignment horizontal="left" vertical="center"/>
    </xf>
    <xf numFmtId="0" fontId="56" fillId="10" borderId="9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0" fontId="56" fillId="0" borderId="1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49" fontId="56" fillId="0" borderId="0" xfId="0" applyNumberFormat="1" applyFont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1" fontId="56" fillId="0" borderId="9" xfId="0" applyNumberFormat="1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56" fillId="0" borderId="0" xfId="0" applyNumberFormat="1" applyFont="1" applyAlignment="1">
      <alignment horizontal="left" vertical="center"/>
    </xf>
    <xf numFmtId="0" fontId="0" fillId="0" borderId="5" xfId="0" applyBorder="1" applyAlignment="1">
      <alignment horizontal="left"/>
    </xf>
    <xf numFmtId="4" fontId="1" fillId="19" borderId="0" xfId="0" applyNumberFormat="1" applyFont="1" applyFill="1" applyAlignment="1">
      <alignment horizontal="left" vertical="center"/>
    </xf>
    <xf numFmtId="4" fontId="56" fillId="19" borderId="0" xfId="0" applyNumberFormat="1" applyFont="1" applyFill="1" applyAlignment="1">
      <alignment horizontal="left" vertical="center"/>
    </xf>
    <xf numFmtId="4" fontId="1" fillId="16" borderId="0" xfId="0" applyNumberFormat="1" applyFont="1" applyFill="1" applyAlignment="1">
      <alignment horizontal="left" vertical="center"/>
    </xf>
    <xf numFmtId="4" fontId="1" fillId="9" borderId="0" xfId="0" applyNumberFormat="1" applyFont="1" applyFill="1" applyAlignment="1">
      <alignment horizontal="left" vertical="center"/>
    </xf>
    <xf numFmtId="4" fontId="1" fillId="0" borderId="0" xfId="0" applyNumberFormat="1" applyFont="1" applyAlignment="1">
      <alignment horizontal="left" vertical="center"/>
    </xf>
    <xf numFmtId="4" fontId="1" fillId="4" borderId="0" xfId="0" applyNumberFormat="1" applyFont="1" applyFill="1" applyAlignment="1">
      <alignment horizontal="left" vertical="center"/>
    </xf>
    <xf numFmtId="4" fontId="56" fillId="10" borderId="0" xfId="0" applyNumberFormat="1" applyFont="1" applyFill="1" applyAlignment="1">
      <alignment horizontal="left" vertical="center"/>
    </xf>
    <xf numFmtId="4" fontId="56" fillId="16" borderId="0" xfId="0" applyNumberFormat="1" applyFont="1" applyFill="1" applyAlignment="1">
      <alignment horizontal="left" vertical="center"/>
    </xf>
    <xf numFmtId="3" fontId="56" fillId="0" borderId="0" xfId="0" applyNumberFormat="1" applyFont="1" applyAlignment="1">
      <alignment horizontal="left" vertical="center"/>
    </xf>
    <xf numFmtId="3" fontId="56" fillId="19" borderId="0" xfId="0" applyNumberFormat="1" applyFont="1" applyFill="1" applyAlignment="1">
      <alignment horizontal="left" vertical="center"/>
    </xf>
    <xf numFmtId="166" fontId="56" fillId="19" borderId="0" xfId="0" applyNumberFormat="1" applyFont="1" applyFill="1" applyAlignment="1">
      <alignment horizontal="left" vertical="center"/>
    </xf>
    <xf numFmtId="3" fontId="56" fillId="16" borderId="0" xfId="0" applyNumberFormat="1" applyFont="1" applyFill="1" applyAlignment="1">
      <alignment horizontal="left" vertical="center"/>
    </xf>
    <xf numFmtId="3" fontId="56" fillId="9" borderId="0" xfId="0" applyNumberFormat="1" applyFont="1" applyFill="1" applyAlignment="1">
      <alignment horizontal="left" vertical="center"/>
    </xf>
    <xf numFmtId="165" fontId="56" fillId="0" borderId="0" xfId="0" applyNumberFormat="1" applyFont="1" applyAlignment="1">
      <alignment horizontal="left" vertical="center"/>
    </xf>
    <xf numFmtId="166" fontId="56" fillId="16" borderId="0" xfId="0" applyNumberFormat="1" applyFont="1" applyFill="1" applyAlignment="1">
      <alignment horizontal="left" vertical="center"/>
    </xf>
    <xf numFmtId="3" fontId="56" fillId="10" borderId="0" xfId="0" applyNumberFormat="1" applyFont="1" applyFill="1" applyAlignment="1">
      <alignment horizontal="left" vertical="center"/>
    </xf>
    <xf numFmtId="3" fontId="1" fillId="0" borderId="5" xfId="0" applyNumberFormat="1" applyFont="1" applyBorder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0" fillId="0" borderId="0" xfId="0" pivotButton="1"/>
    <xf numFmtId="0" fontId="55" fillId="0" borderId="6" xfId="0" applyFont="1" applyBorder="1" applyAlignment="1">
      <alignment horizontal="left" vertical="center"/>
    </xf>
    <xf numFmtId="0" fontId="58" fillId="2" borderId="1" xfId="0" applyFont="1" applyFill="1" applyBorder="1" applyAlignment="1">
      <alignment horizontal="center" vertical="center" wrapText="1"/>
    </xf>
    <xf numFmtId="0" fontId="58" fillId="2" borderId="2" xfId="0" applyFont="1" applyFill="1" applyBorder="1" applyAlignment="1">
      <alignment horizontal="center" vertical="center" wrapText="1"/>
    </xf>
    <xf numFmtId="0" fontId="58" fillId="2" borderId="3" xfId="0" applyFont="1" applyFill="1" applyBorder="1" applyAlignment="1">
      <alignment horizontal="center" vertical="center" wrapText="1"/>
    </xf>
    <xf numFmtId="3" fontId="58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43" fontId="0" fillId="0" borderId="0" xfId="0" applyNumberFormat="1"/>
    <xf numFmtId="169" fontId="0" fillId="0" borderId="0" xfId="0" applyNumberFormat="1"/>
    <xf numFmtId="1" fontId="56" fillId="0" borderId="5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14" fontId="35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19" borderId="9" xfId="0" applyFont="1" applyFill="1" applyBorder="1" applyAlignment="1">
      <alignment horizontal="center" vertical="center" wrapText="1"/>
    </xf>
    <xf numFmtId="14" fontId="9" fillId="19" borderId="9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43" fontId="5" fillId="0" borderId="0" xfId="4" applyFont="1" applyAlignment="1">
      <alignment vertical="center"/>
    </xf>
    <xf numFmtId="0" fontId="38" fillId="0" borderId="0" xfId="0" applyFont="1" applyAlignment="1">
      <alignment horizontal="left" vertical="center"/>
    </xf>
    <xf numFmtId="43" fontId="55" fillId="0" borderId="6" xfId="4" applyFont="1" applyFill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3" fontId="50" fillId="0" borderId="0" xfId="4" applyFont="1" applyBorder="1" applyAlignment="1">
      <alignment horizontal="left" vertical="center" wrapText="1"/>
    </xf>
    <xf numFmtId="14" fontId="0" fillId="0" borderId="0" xfId="0" applyNumberFormat="1" applyAlignment="1">
      <alignment vertical="center" wrapText="1"/>
    </xf>
    <xf numFmtId="0" fontId="5" fillId="18" borderId="0" xfId="0" applyFont="1" applyFill="1" applyBorder="1" applyAlignment="1">
      <alignment vertical="center"/>
    </xf>
    <xf numFmtId="3" fontId="9" fillId="17" borderId="6" xfId="0" applyNumberFormat="1" applyFont="1" applyFill="1" applyBorder="1" applyAlignment="1">
      <alignment horizontal="center" vertical="center" wrapText="1"/>
    </xf>
    <xf numFmtId="0" fontId="9" fillId="20" borderId="6" xfId="0" applyFont="1" applyFill="1" applyBorder="1" applyAlignment="1">
      <alignment horizontal="center" vertical="center" wrapText="1"/>
    </xf>
    <xf numFmtId="0" fontId="14" fillId="20" borderId="9" xfId="0" applyFont="1" applyFill="1" applyBorder="1" applyAlignment="1">
      <alignment horizontal="center" vertical="center" wrapText="1"/>
    </xf>
    <xf numFmtId="14" fontId="9" fillId="20" borderId="6" xfId="0" applyNumberFormat="1" applyFont="1" applyFill="1" applyBorder="1" applyAlignment="1">
      <alignment horizontal="center" vertical="center" wrapText="1"/>
    </xf>
    <xf numFmtId="1" fontId="9" fillId="20" borderId="6" xfId="0" applyNumberFormat="1" applyFont="1" applyFill="1" applyBorder="1" applyAlignment="1">
      <alignment horizontal="center" vertical="center" wrapText="1"/>
    </xf>
    <xf numFmtId="3" fontId="4" fillId="20" borderId="6" xfId="0" applyNumberFormat="1" applyFont="1" applyFill="1" applyBorder="1" applyAlignment="1">
      <alignment horizontal="center" vertical="center"/>
    </xf>
    <xf numFmtId="4" fontId="4" fillId="20" borderId="6" xfId="0" applyNumberFormat="1" applyFont="1" applyFill="1" applyBorder="1" applyAlignment="1">
      <alignment horizontal="center" vertical="center" wrapText="1"/>
    </xf>
    <xf numFmtId="3" fontId="9" fillId="20" borderId="6" xfId="0" applyNumberFormat="1" applyFont="1" applyFill="1" applyBorder="1" applyAlignment="1">
      <alignment horizontal="center" vertical="center" wrapText="1"/>
    </xf>
    <xf numFmtId="14" fontId="9" fillId="20" borderId="6" xfId="0" applyNumberFormat="1" applyFont="1" applyFill="1" applyBorder="1" applyAlignment="1">
      <alignment horizontal="center" vertical="center"/>
    </xf>
    <xf numFmtId="3" fontId="9" fillId="20" borderId="6" xfId="0" applyNumberFormat="1" applyFont="1" applyFill="1" applyBorder="1" applyAlignment="1">
      <alignment horizontal="center" vertical="center"/>
    </xf>
    <xf numFmtId="3" fontId="9" fillId="20" borderId="13" xfId="0" applyNumberFormat="1" applyFont="1" applyFill="1" applyBorder="1" applyAlignment="1">
      <alignment horizontal="center" vertical="center"/>
    </xf>
    <xf numFmtId="3" fontId="9" fillId="20" borderId="9" xfId="0" applyNumberFormat="1" applyFont="1" applyFill="1" applyBorder="1" applyAlignment="1">
      <alignment horizontal="center" vertical="center"/>
    </xf>
    <xf numFmtId="0" fontId="9" fillId="21" borderId="6" xfId="0" applyFont="1" applyFill="1" applyBorder="1" applyAlignment="1">
      <alignment horizontal="center" vertical="center" wrapText="1"/>
    </xf>
    <xf numFmtId="0" fontId="14" fillId="21" borderId="9" xfId="0" applyFont="1" applyFill="1" applyBorder="1" applyAlignment="1">
      <alignment horizontal="center" vertical="center" wrapText="1"/>
    </xf>
    <xf numFmtId="14" fontId="9" fillId="21" borderId="6" xfId="0" applyNumberFormat="1" applyFont="1" applyFill="1" applyBorder="1" applyAlignment="1">
      <alignment horizontal="center" vertical="center" wrapText="1"/>
    </xf>
    <xf numFmtId="168" fontId="4" fillId="21" borderId="6" xfId="0" applyNumberFormat="1" applyFont="1" applyFill="1" applyBorder="1" applyAlignment="1">
      <alignment horizontal="center" vertical="center" wrapText="1"/>
    </xf>
    <xf numFmtId="49" fontId="4" fillId="21" borderId="6" xfId="0" applyNumberFormat="1" applyFont="1" applyFill="1" applyBorder="1" applyAlignment="1">
      <alignment horizontal="center" vertical="center" wrapText="1"/>
    </xf>
    <xf numFmtId="3" fontId="9" fillId="21" borderId="6" xfId="0" applyNumberFormat="1" applyFont="1" applyFill="1" applyBorder="1" applyAlignment="1">
      <alignment horizontal="center" vertical="center"/>
    </xf>
    <xf numFmtId="4" fontId="9" fillId="21" borderId="6" xfId="0" applyNumberFormat="1" applyFont="1" applyFill="1" applyBorder="1" applyAlignment="1">
      <alignment horizontal="center" vertical="center"/>
    </xf>
    <xf numFmtId="3" fontId="9" fillId="21" borderId="6" xfId="0" applyNumberFormat="1" applyFont="1" applyFill="1" applyBorder="1" applyAlignment="1">
      <alignment horizontal="center" vertical="center" wrapText="1"/>
    </xf>
    <xf numFmtId="14" fontId="9" fillId="21" borderId="6" xfId="0" applyNumberFormat="1" applyFont="1" applyFill="1" applyBorder="1" applyAlignment="1">
      <alignment horizontal="center" vertical="center"/>
    </xf>
    <xf numFmtId="14" fontId="35" fillId="21" borderId="6" xfId="0" applyNumberFormat="1" applyFont="1" applyFill="1" applyBorder="1" applyAlignment="1">
      <alignment horizontal="center" vertical="center" wrapText="1"/>
    </xf>
    <xf numFmtId="166" fontId="9" fillId="21" borderId="6" xfId="0" applyNumberFormat="1" applyFont="1" applyFill="1" applyBorder="1" applyAlignment="1">
      <alignment horizontal="center" vertical="center" wrapText="1"/>
    </xf>
    <xf numFmtId="3" fontId="9" fillId="20" borderId="8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vertical="center"/>
    </xf>
    <xf numFmtId="0" fontId="9" fillId="0" borderId="6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14" fontId="9" fillId="0" borderId="6" xfId="0" applyNumberFormat="1" applyFont="1" applyFill="1" applyBorder="1" applyAlignment="1">
      <alignment horizontal="center" vertical="center" wrapText="1"/>
    </xf>
    <xf numFmtId="1" fontId="9" fillId="0" borderId="6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3" fontId="9" fillId="0" borderId="6" xfId="0" applyNumberFormat="1" applyFont="1" applyFill="1" applyBorder="1" applyAlignment="1">
      <alignment horizontal="center" vertical="center"/>
    </xf>
    <xf numFmtId="4" fontId="9" fillId="0" borderId="6" xfId="0" applyNumberFormat="1" applyFont="1" applyFill="1" applyBorder="1" applyAlignment="1">
      <alignment horizontal="center" vertical="center"/>
    </xf>
    <xf numFmtId="3" fontId="9" fillId="0" borderId="6" xfId="0" applyNumberFormat="1" applyFont="1" applyFill="1" applyBorder="1" applyAlignment="1">
      <alignment horizontal="center" vertical="center" wrapText="1"/>
    </xf>
    <xf numFmtId="14" fontId="9" fillId="0" borderId="6" xfId="0" applyNumberFormat="1" applyFont="1" applyFill="1" applyBorder="1" applyAlignment="1">
      <alignment horizontal="center" vertical="center"/>
    </xf>
    <xf numFmtId="0" fontId="57" fillId="18" borderId="6" xfId="5" applyFont="1" applyFill="1" applyBorder="1" applyAlignment="1">
      <alignment horizontal="center" vertical="center" wrapText="1"/>
    </xf>
    <xf numFmtId="3" fontId="4" fillId="0" borderId="6" xfId="0" applyNumberFormat="1" applyFont="1" applyFill="1" applyBorder="1" applyAlignment="1">
      <alignment horizontal="center" vertical="center"/>
    </xf>
    <xf numFmtId="14" fontId="9" fillId="4" borderId="5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4" fontId="47" fillId="13" borderId="21" xfId="0" applyNumberFormat="1" applyFont="1" applyFill="1" applyBorder="1" applyAlignment="1">
      <alignment horizontal="center" vertical="center"/>
    </xf>
    <xf numFmtId="0" fontId="36" fillId="10" borderId="6" xfId="0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right" vertical="center" wrapText="1"/>
    </xf>
    <xf numFmtId="0" fontId="65" fillId="0" borderId="0" xfId="0" applyFont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43" fontId="1" fillId="4" borderId="6" xfId="4" applyFont="1" applyFill="1" applyBorder="1" applyAlignment="1">
      <alignment horizontal="center" vertical="center"/>
    </xf>
    <xf numFmtId="43" fontId="1" fillId="4" borderId="5" xfId="4" applyFont="1" applyFill="1" applyBorder="1" applyAlignment="1">
      <alignment horizontal="center" vertical="center"/>
    </xf>
    <xf numFmtId="0" fontId="66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9" fillId="8" borderId="6" xfId="0" applyFont="1" applyFill="1" applyBorder="1" applyAlignment="1">
      <alignment horizontal="center" vertical="center" wrapText="1"/>
    </xf>
    <xf numFmtId="0" fontId="14" fillId="8" borderId="9" xfId="0" applyFont="1" applyFill="1" applyBorder="1" applyAlignment="1">
      <alignment horizontal="center" vertical="center" wrapText="1"/>
    </xf>
    <xf numFmtId="14" fontId="9" fillId="8" borderId="6" xfId="0" applyNumberFormat="1" applyFont="1" applyFill="1" applyBorder="1" applyAlignment="1">
      <alignment horizontal="center" vertical="center" wrapText="1"/>
    </xf>
    <xf numFmtId="49" fontId="4" fillId="8" borderId="6" xfId="0" applyNumberFormat="1" applyFont="1" applyFill="1" applyBorder="1" applyAlignment="1">
      <alignment horizontal="center" vertical="center" wrapText="1"/>
    </xf>
    <xf numFmtId="3" fontId="4" fillId="8" borderId="6" xfId="0" applyNumberFormat="1" applyFont="1" applyFill="1" applyBorder="1" applyAlignment="1">
      <alignment horizontal="center" vertical="center"/>
    </xf>
    <xf numFmtId="4" fontId="4" fillId="8" borderId="6" xfId="0" applyNumberFormat="1" applyFont="1" applyFill="1" applyBorder="1" applyAlignment="1">
      <alignment horizontal="center" vertical="center"/>
    </xf>
    <xf numFmtId="166" fontId="9" fillId="8" borderId="6" xfId="0" applyNumberFormat="1" applyFont="1" applyFill="1" applyBorder="1" applyAlignment="1">
      <alignment horizontal="center" vertical="center" wrapText="1"/>
    </xf>
    <xf numFmtId="14" fontId="9" fillId="8" borderId="6" xfId="0" applyNumberFormat="1" applyFont="1" applyFill="1" applyBorder="1" applyAlignment="1">
      <alignment horizontal="center" vertical="center"/>
    </xf>
    <xf numFmtId="3" fontId="9" fillId="8" borderId="6" xfId="0" applyNumberFormat="1" applyFont="1" applyFill="1" applyBorder="1" applyAlignment="1">
      <alignment horizontal="center" vertical="center"/>
    </xf>
    <xf numFmtId="14" fontId="35" fillId="8" borderId="6" xfId="0" applyNumberFormat="1" applyFont="1" applyFill="1" applyBorder="1" applyAlignment="1">
      <alignment horizontal="center" vertical="center" wrapText="1"/>
    </xf>
    <xf numFmtId="14" fontId="4" fillId="8" borderId="6" xfId="0" applyNumberFormat="1" applyFont="1" applyFill="1" applyBorder="1" applyAlignment="1">
      <alignment horizontal="center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3" fontId="9" fillId="8" borderId="6" xfId="0" applyNumberFormat="1" applyFont="1" applyFill="1" applyBorder="1" applyAlignment="1">
      <alignment horizontal="center" vertical="center" wrapText="1"/>
    </xf>
    <xf numFmtId="4" fontId="4" fillId="8" borderId="6" xfId="0" applyNumberFormat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7" fillId="0" borderId="6" xfId="0" applyFont="1" applyBorder="1" applyAlignment="1">
      <alignment vertical="center" wrapText="1"/>
    </xf>
    <xf numFmtId="49" fontId="67" fillId="0" borderId="0" xfId="0" applyNumberFormat="1" applyFont="1" applyAlignment="1">
      <alignment horizontal="center" vertical="center" wrapText="1"/>
    </xf>
    <xf numFmtId="0" fontId="56" fillId="8" borderId="6" xfId="5" applyFont="1" applyFill="1" applyBorder="1" applyAlignment="1">
      <alignment horizontal="center" vertical="center" wrapText="1"/>
    </xf>
    <xf numFmtId="165" fontId="9" fillId="8" borderId="6" xfId="0" applyNumberFormat="1" applyFont="1" applyFill="1" applyBorder="1" applyAlignment="1">
      <alignment horizontal="center" vertical="center" wrapText="1"/>
    </xf>
    <xf numFmtId="3" fontId="64" fillId="8" borderId="6" xfId="0" applyNumberFormat="1" applyFont="1" applyFill="1" applyBorder="1" applyAlignment="1">
      <alignment horizontal="center" vertical="center" wrapText="1"/>
    </xf>
    <xf numFmtId="0" fontId="5" fillId="21" borderId="14" xfId="0" applyFont="1" applyFill="1" applyBorder="1" applyAlignment="1">
      <alignment vertical="center"/>
    </xf>
    <xf numFmtId="3" fontId="4" fillId="0" borderId="6" xfId="0" applyNumberFormat="1" applyFont="1" applyBorder="1" applyAlignment="1">
      <alignment horizontal="center" vertical="center"/>
    </xf>
    <xf numFmtId="3" fontId="0" fillId="13" borderId="21" xfId="0" applyNumberFormat="1" applyFont="1" applyFill="1" applyBorder="1" applyAlignment="1">
      <alignment horizontal="center" vertical="center"/>
    </xf>
    <xf numFmtId="4" fontId="0" fillId="13" borderId="21" xfId="0" applyNumberFormat="1" applyFont="1" applyFill="1" applyBorder="1" applyAlignment="1">
      <alignment horizontal="center" vertical="center"/>
    </xf>
    <xf numFmtId="3" fontId="0" fillId="10" borderId="6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NumberFormat="1"/>
    <xf numFmtId="0" fontId="0" fillId="0" borderId="0" xfId="0" applyAlignment="1">
      <alignment horizontal="left" indent="1"/>
    </xf>
    <xf numFmtId="0" fontId="5" fillId="0" borderId="0" xfId="0" applyFont="1" applyAlignment="1">
      <alignment vertical="center" wrapText="1"/>
    </xf>
    <xf numFmtId="0" fontId="12" fillId="2" borderId="9" xfId="0" applyFont="1" applyFill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166" fontId="4" fillId="8" borderId="9" xfId="0" applyNumberFormat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>
      <alignment horizontal="center" vertical="center"/>
    </xf>
    <xf numFmtId="49" fontId="9" fillId="4" borderId="6" xfId="0" applyNumberFormat="1" applyFont="1" applyFill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top"/>
    </xf>
    <xf numFmtId="2" fontId="4" fillId="0" borderId="6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5" fontId="9" fillId="0" borderId="6" xfId="0" applyNumberFormat="1" applyFont="1" applyBorder="1" applyAlignment="1">
      <alignment horizontal="center" vertical="center"/>
    </xf>
    <xf numFmtId="168" fontId="4" fillId="0" borderId="6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166" fontId="9" fillId="0" borderId="6" xfId="0" applyNumberFormat="1" applyFont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49" fontId="9" fillId="8" borderId="6" xfId="0" applyNumberFormat="1" applyFont="1" applyFill="1" applyBorder="1" applyAlignment="1">
      <alignment horizontal="center" vertical="center"/>
    </xf>
    <xf numFmtId="14" fontId="4" fillId="8" borderId="6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14" fontId="35" fillId="8" borderId="6" xfId="0" applyNumberFormat="1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68" fontId="4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Fill="1" applyBorder="1" applyAlignment="1">
      <alignment horizontal="center" vertical="center"/>
    </xf>
    <xf numFmtId="4" fontId="4" fillId="0" borderId="6" xfId="0" applyNumberFormat="1" applyFont="1" applyFill="1" applyBorder="1" applyAlignment="1">
      <alignment horizontal="center" vertical="center"/>
    </xf>
    <xf numFmtId="4" fontId="24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36" fillId="10" borderId="35" xfId="0" applyFont="1" applyFill="1" applyBorder="1" applyAlignment="1">
      <alignment horizontal="left" vertical="center"/>
    </xf>
    <xf numFmtId="0" fontId="36" fillId="10" borderId="32" xfId="0" applyFont="1" applyFill="1" applyBorder="1" applyAlignment="1">
      <alignment horizontal="left" vertical="center"/>
    </xf>
    <xf numFmtId="0" fontId="36" fillId="10" borderId="34" xfId="0" applyFont="1" applyFill="1" applyBorder="1" applyAlignment="1">
      <alignment horizontal="left" vertical="center"/>
    </xf>
    <xf numFmtId="0" fontId="16" fillId="3" borderId="22" xfId="0" applyFont="1" applyFill="1" applyBorder="1" applyAlignment="1">
      <alignment horizontal="center" vertical="center"/>
    </xf>
    <xf numFmtId="0" fontId="19" fillId="10" borderId="35" xfId="0" applyFont="1" applyFill="1" applyBorder="1" applyAlignment="1">
      <alignment horizontal="left" vertical="center"/>
    </xf>
    <xf numFmtId="0" fontId="19" fillId="10" borderId="32" xfId="0" applyFont="1" applyFill="1" applyBorder="1" applyAlignment="1">
      <alignment horizontal="left" vertical="center"/>
    </xf>
    <xf numFmtId="0" fontId="19" fillId="10" borderId="34" xfId="0" applyFont="1" applyFill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Alignment="1"/>
    <xf numFmtId="0" fontId="14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4" fillId="8" borderId="6" xfId="0" applyFont="1" applyFill="1" applyBorder="1" applyAlignment="1">
      <alignment horizontal="left" vertical="center"/>
    </xf>
    <xf numFmtId="0" fontId="14" fillId="0" borderId="6" xfId="0" applyFont="1" applyFill="1" applyBorder="1" applyAlignment="1">
      <alignment horizontal="left" vertical="center"/>
    </xf>
    <xf numFmtId="0" fontId="9" fillId="19" borderId="6" xfId="0" applyFont="1" applyFill="1" applyBorder="1" applyAlignment="1">
      <alignment horizontal="center" vertical="center"/>
    </xf>
    <xf numFmtId="0" fontId="4" fillId="19" borderId="0" xfId="0" applyFont="1" applyFill="1" applyAlignment="1">
      <alignment vertical="center"/>
    </xf>
    <xf numFmtId="0" fontId="9" fillId="19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0" fontId="4" fillId="8" borderId="6" xfId="0" applyFont="1" applyFill="1" applyBorder="1" applyAlignment="1">
      <alignment vertical="center"/>
    </xf>
    <xf numFmtId="0" fontId="14" fillId="8" borderId="6" xfId="0" applyFont="1" applyFill="1" applyBorder="1" applyAlignment="1">
      <alignment horizontal="left" vertical="center" wrapText="1"/>
    </xf>
    <xf numFmtId="0" fontId="19" fillId="10" borderId="39" xfId="0" applyFont="1" applyFill="1" applyBorder="1" applyAlignment="1">
      <alignment horizontal="center" vertical="center" wrapText="1"/>
    </xf>
    <xf numFmtId="0" fontId="19" fillId="10" borderId="40" xfId="0" applyFont="1" applyFill="1" applyBorder="1" applyAlignment="1">
      <alignment horizontal="center" vertical="center" wrapText="1"/>
    </xf>
    <xf numFmtId="0" fontId="19" fillId="10" borderId="11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32" xfId="0" applyFont="1" applyFill="1" applyBorder="1" applyAlignment="1">
      <alignment horizontal="center" vertical="center" wrapText="1"/>
    </xf>
    <xf numFmtId="0" fontId="19" fillId="10" borderId="6" xfId="0" applyFont="1" applyFill="1" applyBorder="1" applyAlignment="1">
      <alignment horizontal="center" vertical="center" wrapText="1"/>
    </xf>
    <xf numFmtId="0" fontId="45" fillId="13" borderId="5" xfId="0" applyFont="1" applyFill="1" applyBorder="1" applyAlignment="1" applyProtection="1">
      <alignment horizontal="left" vertical="center"/>
      <protection locked="0"/>
    </xf>
    <xf numFmtId="0" fontId="19" fillId="3" borderId="28" xfId="0" applyFont="1" applyFill="1" applyBorder="1" applyAlignment="1">
      <alignment horizontal="center" vertical="center" wrapText="1"/>
    </xf>
    <xf numFmtId="0" fontId="19" fillId="3" borderId="37" xfId="0" applyFont="1" applyFill="1" applyBorder="1" applyAlignment="1">
      <alignment horizontal="center" vertical="center" wrapText="1"/>
    </xf>
    <xf numFmtId="0" fontId="19" fillId="10" borderId="35" xfId="0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19" fillId="3" borderId="30" xfId="0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8" xfId="0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center" vertical="center" wrapText="1"/>
    </xf>
    <xf numFmtId="0" fontId="47" fillId="13" borderId="15" xfId="0" applyFont="1" applyFill="1" applyBorder="1" applyAlignment="1" applyProtection="1">
      <alignment horizontal="left" vertical="center"/>
      <protection locked="0"/>
    </xf>
    <xf numFmtId="0" fontId="47" fillId="13" borderId="16" xfId="0" applyFont="1" applyFill="1" applyBorder="1" applyAlignment="1" applyProtection="1">
      <alignment horizontal="left" vertical="center"/>
      <protection locked="0"/>
    </xf>
    <xf numFmtId="0" fontId="7" fillId="3" borderId="8" xfId="0" applyFont="1" applyFill="1" applyBorder="1" applyAlignment="1" applyProtection="1">
      <alignment horizontal="left" vertical="center"/>
      <protection locked="0"/>
    </xf>
    <xf numFmtId="0" fontId="7" fillId="3" borderId="13" xfId="0" applyFont="1" applyFill="1" applyBorder="1" applyAlignment="1" applyProtection="1">
      <alignment horizontal="left" vertical="center"/>
      <protection locked="0"/>
    </xf>
    <xf numFmtId="0" fontId="7" fillId="3" borderId="9" xfId="0" applyFont="1" applyFill="1" applyBorder="1" applyAlignment="1" applyProtection="1">
      <alignment horizontal="left" vertical="center"/>
      <protection locked="0"/>
    </xf>
    <xf numFmtId="0" fontId="19" fillId="3" borderId="6" xfId="0" applyFont="1" applyFill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0" fontId="52" fillId="0" borderId="23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14" fontId="14" fillId="0" borderId="8" xfId="0" applyNumberFormat="1" applyFont="1" applyBorder="1" applyAlignment="1">
      <alignment horizontal="center" vertical="center" wrapText="1"/>
    </xf>
    <xf numFmtId="14" fontId="14" fillId="0" borderId="13" xfId="0" applyNumberFormat="1" applyFont="1" applyBorder="1" applyAlignment="1">
      <alignment horizontal="center" vertical="center" wrapText="1"/>
    </xf>
    <xf numFmtId="14" fontId="14" fillId="0" borderId="9" xfId="0" applyNumberFormat="1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left" vertical="center"/>
    </xf>
    <xf numFmtId="0" fontId="38" fillId="18" borderId="0" xfId="0" applyFont="1" applyFill="1" applyAlignment="1">
      <alignment horizontal="left" vertical="center"/>
    </xf>
    <xf numFmtId="0" fontId="16" fillId="3" borderId="6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/>
    </xf>
  </cellXfs>
  <cellStyles count="7">
    <cellStyle name="Обычный" xfId="0" builtinId="0"/>
    <cellStyle name="Обычный 2" xfId="5"/>
    <cellStyle name="Процентный" xfId="1" builtinId="5"/>
    <cellStyle name="Финансовый" xfId="4" builtinId="3"/>
    <cellStyle name="Финансовый 11" xfId="6"/>
    <cellStyle name="Финансовый 2" xfId="2"/>
    <cellStyle name="Финансовый 3" xfId="3"/>
  </cellStyles>
  <dxfs count="144"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textRotation="0" indent="0" justifyLastLine="0" shrinkToFit="0" readingOrder="0"/>
      <border diagonalUp="0" diagonalDown="0" outline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9" formatCode="_-* #,##0_-;\-* #,##0_-;_-* &quot;-&quot;??_-;_-@_-"/>
    </dxf>
    <dxf>
      <numFmt numFmtId="170" formatCode="_-* #,##0.0_-;\-* #,##0.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170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70" formatCode="_-* #,##0.0_-;\-* #,##0.0_-;_-* &quot;-&quot;??_-;_-@_-"/>
    </dxf>
    <dxf>
      <numFmt numFmtId="170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mruColors>
      <color rgb="FF66FF99"/>
      <color rgb="FFFFCCCC"/>
      <color rgb="FF00823B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Курмангалиев Марат Галиевич" refreshedDate="45595.472172569447" createdVersion="6" refreshedVersion="6" minRefreshableVersion="3" recordCount="263">
  <cacheSource type="worksheet">
    <worksheetSource name="Таблица1"/>
  </cacheSource>
  <cacheFields count="33">
    <cacheField name="№" numFmtId="0">
      <sharedItems containsString="0" containsBlank="1" containsNumber="1" containsInteger="1" minValue="1" maxValue="188"/>
    </cacheField>
    <cacheField name="Наименование Проекта" numFmtId="0">
      <sharedItems/>
    </cacheField>
    <cacheField name="Дата решение Правления/СД" numFmtId="14">
      <sharedItems containsNonDate="0" containsDate="1" containsString="0" containsBlank="1" minDate="2017-05-15T00:00:00" maxDate="2024-09-04T00:00:00"/>
    </cacheField>
    <cacheField name="Регион" numFmtId="0">
      <sharedItems containsBlank="1" count="19">
        <s v="г. Астана"/>
        <s v="г. Алматы "/>
        <s v="г. Уральск"/>
        <s v="г. Шымкент"/>
        <s v="Алматинская обл. "/>
        <s v="г. Атырау"/>
        <s v="Акмолинская область,_x000a_г. Косшы "/>
        <s v="г. Актау"/>
        <s v="г. Костанай"/>
        <s v="г. Актобе"/>
        <s v="Алматинска обл._x000a_г.Конаев"/>
        <s v="Алматинская обл._x000a_c.Бесагаш"/>
        <s v="г. Усть-Каменогорск"/>
        <s v="Акмолинская область, _x000a_г. Щучинск"/>
        <s v="г. Алматы"/>
        <s v="Акмолинская область, г. Косшы "/>
        <s v="Алматинская область, _x000a_г.Конаев"/>
        <s v="Акмолинская область, г.Кокшетау"/>
        <m/>
      </sharedItems>
    </cacheField>
    <cacheField name="Застройщик" numFmtId="0">
      <sharedItems containsBlank="1"/>
    </cacheField>
    <cacheField name="БИН Застройщика" numFmtId="0">
      <sharedItems containsBlank="1" containsMixedTypes="1" containsNumber="1" containsInteger="1" minValue="131240018048" maxValue="970540007997"/>
    </cacheField>
    <cacheField name="Уполномоченная компания " numFmtId="0">
      <sharedItems containsBlank="1"/>
    </cacheField>
    <cacheField name="БИН Уполномоченной компании" numFmtId="0">
      <sharedItems containsBlank="1" containsMixedTypes="1" containsNumber="1" containsInteger="1" minValue="111240020442" maxValue="240140030559"/>
    </cacheField>
    <cacheField name="Стоимость, тенге" numFmtId="3">
      <sharedItems containsString="0" containsBlank="1" containsNumber="1" minValue="113803898" maxValue="21841445585"/>
    </cacheField>
    <cacheField name="Площадь, кв.м по Проекту" numFmtId="4">
      <sharedItems containsString="0" containsBlank="1" containsNumber="1" minValue="-8613.74" maxValue="148546.6"/>
    </cacheField>
    <cacheField name="Площадь квартир, кв.м по Проекту" numFmtId="0">
      <sharedItems containsString="0" containsBlank="1" containsNumber="1" minValue="1784.9" maxValue="48140.85"/>
    </cacheField>
    <cacheField name="Себестоимость_x000a_тыс.тенге/1 м2" numFmtId="0">
      <sharedItems containsBlank="1" containsMixedTypes="1" containsNumber="1" minValue="143" maxValue="475.30200000000002"/>
    </cacheField>
    <cacheField name="Цена реал. тыс.тенге/1 м2" numFmtId="0">
      <sharedItems containsBlank="1" containsMixedTypes="1" containsNumber="1" minValue="200" maxValue="674.78599999999994"/>
    </cacheField>
    <cacheField name="Дата заключения договора о предоставлении гарантии" numFmtId="14">
      <sharedItems containsDate="1" containsBlank="1" containsMixedTypes="1" minDate="2017-05-18T00:00:00" maxDate="2024-09-06T00:00:00" count="210">
        <d v="2017-05-18T00:00:00"/>
        <d v="2017-09-22T00:00:00"/>
        <d v="2018-01-22T00:00:00"/>
        <d v="2018-02-15T00:00:00"/>
        <d v="2018-04-24T00:00:00"/>
        <d v="2018-04-28T00:00:00"/>
        <d v="2018-08-14T00:00:00"/>
        <d v="2018-03-16T00:00:00"/>
        <d v="2018-08-29T00:00:00"/>
        <d v="2018-10-25T00:00:00"/>
        <d v="2018-12-24T00:00:00"/>
        <d v="2018-03-03T00:00:00"/>
        <d v="2018-04-04T00:00:00"/>
        <d v="2018-08-03T00:00:00"/>
        <d v="2018-10-12T00:00:00"/>
        <d v="2018-04-26T00:00:00"/>
        <d v="2018-07-10T00:00:00"/>
        <d v="2018-08-24T00:00:00"/>
        <d v="2019-02-22T00:00:00"/>
        <d v="2019-03-19T00:00:00"/>
        <d v="2019-02-15T00:00:00"/>
        <d v="2019-09-20T00:00:00"/>
        <d v="2019-07-01T00:00:00"/>
        <d v="2019-11-27T00:00:00"/>
        <d v="2019-08-20T00:00:00"/>
        <d v="2019-08-12T00:00:00"/>
        <d v="2019-07-31T00:00:00"/>
        <d v="2019-07-24T00:00:00"/>
        <d v="2019-11-14T00:00:00"/>
        <d v="2019-06-13T00:00:00"/>
        <d v="2019-09-03T00:00:00"/>
        <d v="2020-02-19T00:00:00"/>
        <d v="2019-08-02T00:00:00"/>
        <d v="2019-09-27T00:00:00"/>
        <d v="2019-11-22T00:00:00"/>
        <d v="2019-10-11T00:00:00"/>
        <d v="2019-10-21T00:00:00"/>
        <d v="2020-05-19T00:00:00"/>
        <d v="2019-10-17T00:00:00"/>
        <d v="2019-12-03T00:00:00"/>
        <d v="2020-02-17T00:00:00"/>
        <d v="2020-02-01T00:00:00"/>
        <d v="2020-06-10T00:00:00"/>
        <d v="2020-09-14T00:00:00"/>
        <d v="2020-02-28T00:00:00"/>
        <d v="2020-04-29T00:00:00"/>
        <d v="2020-02-06T00:00:00"/>
        <d v="2020-02-05T00:00:00"/>
        <d v="2020-07-13T00:00:00"/>
        <d v="2020-06-17T00:00:00"/>
        <d v="2020-08-20T00:00:00"/>
        <d v="2020-11-19T00:00:00"/>
        <d v="2020-12-14T00:00:00"/>
        <d v="2020-08-19T00:00:00"/>
        <d v="2021-05-28T00:00:00"/>
        <d v="2020-03-13T00:00:00"/>
        <d v="2020-07-04T00:00:00"/>
        <d v="2020-08-17T00:00:00"/>
        <d v="2020-12-28T00:00:00"/>
        <d v="2020-12-30T00:00:00"/>
        <d v="2020-11-30T00:00:00"/>
        <d v="2021-01-13T00:00:00"/>
        <d v="2021-03-01T00:00:00"/>
        <d v="2021-07-26T00:00:00"/>
        <d v="2021-04-23T00:00:00"/>
        <d v="2021-02-24T00:00:00"/>
        <d v="2021-07-27T00:00:00"/>
        <d v="2021-07-21T00:00:00"/>
        <d v="2021-06-09T00:00:00"/>
        <d v="2021-04-01T00:00:00"/>
        <d v="2021-07-13T00:00:00"/>
        <d v="2021-06-08T00:00:00"/>
        <d v="2021-02-12T00:00:00"/>
        <d v="2021-10-05T00:00:00"/>
        <d v="2021-05-26T00:00:00"/>
        <d v="2021-07-15T00:00:00"/>
        <d v="2021-09-30T00:00:00"/>
        <d v="2021-11-25T00:00:00"/>
        <d v="2021-08-13T00:00:00"/>
        <d v="2021-03-02T00:00:00"/>
        <d v="2021-05-14T00:00:00"/>
        <d v="2021-06-11T00:00:00"/>
        <d v="2021-09-15T00:00:00"/>
        <d v="2021-03-30T00:00:00"/>
        <d v="2021-05-21T00:00:00"/>
        <d v="2021-07-19T00:00:00"/>
        <d v="2021-02-17T00:00:00"/>
        <d v="2021-05-17T00:00:00"/>
        <d v="2021-09-23T00:00:00"/>
        <d v="2022-06-28T00:00:00"/>
        <d v="2022-03-15T00:00:00"/>
        <d v="2022-01-25T00:00:00"/>
        <d v="2021-04-14T00:00:00"/>
        <d v="2022-01-24T00:00:00"/>
        <d v="2022-02-09T00:00:00"/>
        <d v="2021-12-23T00:00:00"/>
        <d v="2021-07-12T00:00:00"/>
        <d v="2021-08-12T00:00:00"/>
        <d v="2021-10-26T00:00:00"/>
        <d v="2021-09-02T00:00:00"/>
        <d v="2020-07-27T00:00:00"/>
        <d v="2021-08-11T00:00:00"/>
        <d v="2021-02-03T00:00:00"/>
        <d v="2021-09-14T00:00:00"/>
        <d v="2022-01-27T00:00:00"/>
        <d v="2021-06-17T00:00:00"/>
        <d v="2021-11-19T00:00:00"/>
        <d v="2022-02-01T00:00:00"/>
        <d v="2021-12-02T00:00:00"/>
        <d v="2022-09-19T00:00:00"/>
        <d v="2021-10-01T00:00:00"/>
        <d v="2022-08-11T00:00:00"/>
        <d v="2022-08-04T00:00:00"/>
        <d v="2021-12-07T00:00:00"/>
        <d v="2021-11-26T00:00:00"/>
        <d v="2021-12-22T00:00:00"/>
        <d v="2022-01-20T00:00:00"/>
        <d v="2022-02-15T00:00:00"/>
        <d v="2021-11-05T00:00:00"/>
        <d v="2021-10-27T00:00:00"/>
        <d v="2022-03-04T00:00:00"/>
        <d v="2022-02-11T00:00:00"/>
        <d v="2021-10-15T00:00:00"/>
        <d v="2021-09-24T00:00:00"/>
        <d v="2021-05-20T00:00:00"/>
        <d v="2021-04-09T00:00:00"/>
        <d v="2021-10-22T00:00:00"/>
        <d v="2021-06-30T00:00:00"/>
        <d v="2021-11-23T00:00:00"/>
        <d v="2020-09-17T00:00:00"/>
        <d v="2022-04-22T00:00:00"/>
        <d v="2022-02-21T00:00:00"/>
        <d v="2022-04-13T00:00:00"/>
        <d v="2021-08-20T00:00:00"/>
        <d v="2022-09-01T00:00:00"/>
        <d v="2022-09-13T00:00:00"/>
        <d v="2022-11-21T00:00:00"/>
        <d v="2022-07-14T00:00:00"/>
        <d v="2022-05-30T00:00:00"/>
        <d v="2022-07-22T00:00:00"/>
        <d v="2022-07-15T00:00:00"/>
        <d v="2022-06-27T00:00:00"/>
        <d v="2022-12-13T00:00:00"/>
        <d v="2021-11-17T00:00:00"/>
        <d v="2023-04-19T00:00:00"/>
        <d v="2023-01-13T00:00:00"/>
        <d v="2021-11-16T00:00:00"/>
        <d v="2023-03-14T00:00:00"/>
        <d v="2023-01-12T00:00:00"/>
        <d v="2023-02-14T00:00:00"/>
        <d v="2022-08-24T00:00:00"/>
        <d v="2022-08-17T00:00:00"/>
        <d v="2022-12-22T00:00:00"/>
        <d v="2023-06-26T00:00:00"/>
        <d v="2022-12-01T00:00:00"/>
        <d v="2022-11-01T00:00:00"/>
        <d v="2023-10-20T00:00:00"/>
        <d v="2022-03-31T00:00:00"/>
        <d v="2023-07-04T00:00:00"/>
        <d v="2023-06-02T00:00:00"/>
        <d v="2023-07-21T00:00:00"/>
        <d v="2023-09-27T00:00:00"/>
        <d v="2024-05-06T00:00:00"/>
        <d v="2023-08-11T00:00:00"/>
        <d v="2023-02-24T00:00:00"/>
        <d v="2023-09-14T00:00:00"/>
        <d v="2023-02-23T00:00:00"/>
        <d v="2023-06-21T00:00:00"/>
        <d v="2021-11-18T00:00:00"/>
        <d v="2022-08-10T00:00:00"/>
        <d v="2022-08-27T00:00:00"/>
        <d v="2023-02-02T00:00:00"/>
        <d v="2023-03-06T00:00:00"/>
        <d v="2023-03-15T00:00:00"/>
        <d v="2023-03-31T00:00:00"/>
        <d v="2023-04-28T00:00:00"/>
        <d v="2023-05-17T00:00:00"/>
        <d v="2024-01-19T00:00:00"/>
        <d v="2023-05-31T00:00:00"/>
        <d v="2023-07-19T00:00:00"/>
        <d v="2023-07-20T00:00:00"/>
        <d v="2023-08-18T00:00:00"/>
        <d v="2023-09-08T00:00:00"/>
        <d v="2023-09-28T00:00:00"/>
        <d v="2023-10-11T00:00:00"/>
        <d v="2023-10-18T00:00:00"/>
        <d v="2023-10-23T00:00:00"/>
        <d v="2023-11-21T00:00:00"/>
        <d v="2023-12-28T00:00:00"/>
        <d v="2024-01-17T00:00:00"/>
        <d v="2024-01-18T00:00:00"/>
        <d v="2024-02-02T00:00:00"/>
        <d v="2024-02-26T00:00:00"/>
        <d v="2024-03-14T00:00:00"/>
        <d v="2024-03-20T00:00:00"/>
        <d v="2024-03-29T00:00:00"/>
        <d v="2024-04-11T00:00:00"/>
        <d v="2024-03-28T00:00:00"/>
        <d v="2024-04-12T00:00:00"/>
        <d v="2024-05-28T00:00:00"/>
        <d v="2024-05-13T00:00:00"/>
        <d v="2024-05-29T00:00:00"/>
        <d v="2024-07-10T00:00:00"/>
        <d v="2024-08-09T00:00:00"/>
        <d v="2024-08-12T00:00:00"/>
        <d v="2024-08-16T00:00:00"/>
        <d v="2024-08-26T00:00:00"/>
        <d v="2024-09-05T00:00:00"/>
        <s v="на подписании"/>
        <m/>
      </sharedItems>
    </cacheField>
    <cacheField name="Количество квартир по Проекту" numFmtId="0">
      <sharedItems containsString="0" containsBlank="1" containsNumber="1" containsInteger="1" minValue="-48" maxValue="2142"/>
    </cacheField>
    <cacheField name="Количество квартир по факту (после ввода)*" numFmtId="0">
      <sharedItems containsString="0" containsBlank="1" containsNumber="1" containsInteger="1" minValue="0" maxValue="2140"/>
    </cacheField>
    <cacheField name="Этажность" numFmtId="0">
      <sharedItems containsBlank="1" containsMixedTypes="1" containsNumber="1" minValue="0" maxValue="24"/>
    </cacheField>
    <cacheField name="Дата начала строительства" numFmtId="14">
      <sharedItems containsDate="1" containsBlank="1" containsMixedTypes="1" minDate="2016-05-23T00:00:00" maxDate="2024-07-25T00:00:00"/>
    </cacheField>
    <cacheField name="Дата завершения " numFmtId="0">
      <sharedItems containsDate="1" containsBlank="1" containsMixedTypes="1" minDate="2018-08-27T00:00:00" maxDate="2026-03-11T00:00:00"/>
    </cacheField>
    <cacheField name="Дата пролонгации 1" numFmtId="0">
      <sharedItems containsDate="1" containsBlank="1" containsMixedTypes="1" minDate="2019-05-31T00:00:00" maxDate="2024-12-22T00:00:00"/>
    </cacheField>
    <cacheField name="Дата пролонгации 2" numFmtId="0">
      <sharedItems containsDate="1" containsBlank="1" containsMixedTypes="1" minDate="2019-08-31T00:00:00" maxDate="2024-12-23T00:00:00"/>
    </cacheField>
    <cacheField name="Дата пролонгации 3" numFmtId="0">
      <sharedItems containsDate="1" containsBlank="1" containsMixedTypes="1" minDate="2020-01-30T00:00:00" maxDate="2024-10-04T00:00:00"/>
    </cacheField>
    <cacheField name="Дата завершения 2" numFmtId="0">
      <sharedItems containsDate="1" containsBlank="1" containsMixedTypes="1" minDate="2018-02-23T00:00:00" maxDate="2026-03-11T00:00:00"/>
    </cacheField>
    <cacheField name="Гарантийный взнос, тенге" numFmtId="3">
      <sharedItems containsBlank="1" containsMixedTypes="1" containsNumber="1" minValue="-17163346" maxValue="197200827"/>
    </cacheField>
    <cacheField name="№ ДПГ" numFmtId="0">
      <sharedItems containsBlank="1"/>
    </cacheField>
    <cacheField name="Стоимость увеличение/уменьшение обзятельств" numFmtId="0">
      <sharedItems containsString="0" containsBlank="1" containsNumber="1" minValue="211128707" maxValue="10802747511"/>
    </cacheField>
    <cacheField name="Исполнитель" numFmtId="0">
      <sharedItems containsBlank="1"/>
    </cacheField>
    <cacheField name="Балл Застройщика " numFmtId="0">
      <sharedItems containsString="0" containsBlank="1" containsNumber="1" containsInteger="1" minValue="60" maxValue="100"/>
    </cacheField>
    <cacheField name="Кол-во продлении" numFmtId="0">
      <sharedItems containsString="0" containsBlank="1" containsNumber="1" containsInteger="1" minValue="0" maxValue="3"/>
    </cacheField>
    <cacheField name="Кол-во модерации" numFmtId="0">
      <sharedItems containsBlank="1" containsMixedTypes="1" containsNumber="1" containsInteger="1" minValue="0" maxValue="4"/>
    </cacheField>
    <cacheField name="Номер в SB" numFmtId="0">
      <sharedItems containsString="0" containsBlank="1" containsNumber="1" containsInteger="1" minValue="246" maxValue="499"/>
    </cacheField>
    <cacheField name="Наличие &quot;Зеленого сертификатв&quot; " numFmtId="0">
      <sharedItems containsBlank="1"/>
    </cacheField>
    <cacheField name="Статус" numFmtId="0">
      <sharedItems containsBlank="1" count="3">
        <s v="Завершенные"/>
        <s v="Действующие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3">
  <r>
    <n v="1"/>
    <s v="ЖК &quot;Миллениум парк&quot;, пятно 2, 14 блок"/>
    <d v="2017-05-15T00:00:00"/>
    <x v="0"/>
    <s v="ТОО &quot;BAZIS-A Corp.&quot;"/>
    <n v="960340000376"/>
    <s v="ТОО &quot;Аллея тысячелетия-2&quot;"/>
    <s v="160340010693"/>
    <n v="2516814000"/>
    <n v="14000"/>
    <m/>
    <m/>
    <m/>
    <x v="0"/>
    <n v="178"/>
    <n v="178"/>
    <n v="24"/>
    <d v="2016-05-23T00:00:00"/>
    <d v="2019-02-23T00:00:00"/>
    <m/>
    <m/>
    <m/>
    <d v="2018-02-23T00:00:00"/>
    <n v="50336280"/>
    <s v="ДПГ-17-01-001-02/001"/>
    <m/>
    <m/>
    <n v="100"/>
    <m/>
    <m/>
    <m/>
    <m/>
    <x v="0"/>
  </r>
  <r>
    <n v="2"/>
    <s v="ЖК &quot;Легенда&quot;, 1 очередь (пятна 1-6)"/>
    <d v="2017-08-21T00:00:00"/>
    <x v="1"/>
    <s v="ТОО &quot;BAZIS-A Corp.&quot;"/>
    <n v="960340000376"/>
    <s v="ТОО &quot;KAT-Construction&quot;"/>
    <s v="160640015734"/>
    <n v="6866978080"/>
    <n v="35371.300000000003"/>
    <m/>
    <m/>
    <m/>
    <x v="1"/>
    <n v="400"/>
    <n v="396"/>
    <s v="14-16"/>
    <d v="2017-06-09T00:00:00"/>
    <d v="2019-01-09T00:00:00"/>
    <m/>
    <m/>
    <m/>
    <d v="2018-12-20T00:00:00"/>
    <n v="137339562"/>
    <s v="ДПГ-17-02-001/002"/>
    <m/>
    <m/>
    <n v="100"/>
    <m/>
    <m/>
    <m/>
    <m/>
    <x v="0"/>
  </r>
  <r>
    <n v="3"/>
    <s v="ЖК Алтын Ұя"/>
    <d v="2017-12-21T00:00:00"/>
    <x v="0"/>
    <s v="ТОО &quot;Comfort Development KZ&quot;"/>
    <s v="210940032945"/>
    <s v="ТОО &quot;AKAN Engineering&quot; "/>
    <s v="140540020406"/>
    <n v="1576632159"/>
    <n v="13084"/>
    <m/>
    <m/>
    <m/>
    <x v="2"/>
    <n v="148"/>
    <n v="167"/>
    <n v="10"/>
    <d v="2017-01-30T00:00:00"/>
    <d v="2018-08-27T00:00:00"/>
    <m/>
    <m/>
    <m/>
    <d v="2018-08-27T00:00:00"/>
    <n v="18956603"/>
    <s v="ДПГ-17-01-002/003"/>
    <m/>
    <m/>
    <n v="67"/>
    <m/>
    <m/>
    <m/>
    <m/>
    <x v="0"/>
  </r>
  <r>
    <n v="4"/>
    <s v="МЖК Легенда, 2 очередь, ПАРКИНГ"/>
    <d v="2018-02-01T00:00:00"/>
    <x v="1"/>
    <s v="ТОО &quot;BAZIS-A Corp.&quot;"/>
    <n v="960340000376"/>
    <s v="ТОО &quot;KAT-Construction&quot;"/>
    <s v="160640015734"/>
    <n v="1348115202"/>
    <n v="8303.1"/>
    <m/>
    <m/>
    <m/>
    <x v="3"/>
    <n v="233"/>
    <n v="233"/>
    <n v="1"/>
    <d v="2017-09-27T00:00:00"/>
    <d v="2018-12-27T00:00:00"/>
    <m/>
    <m/>
    <m/>
    <d v="2018-12-20T00:00:00"/>
    <n v="24756844"/>
    <s v="доп.согл. №1 к_x000a_ДПГ-17-02-001/002"/>
    <m/>
    <m/>
    <n v="100"/>
    <m/>
    <m/>
    <m/>
    <m/>
    <x v="0"/>
  </r>
  <r>
    <n v="5"/>
    <s v="МЖК Alma City, 1 очередь"/>
    <d v="2018-04-03T00:00:00"/>
    <x v="1"/>
    <s v="ТОО &quot;Qazaq Stroy&quot;"/>
    <s v="050540016141"/>
    <s v="ТОО &quot;Елимай-Invest&quot; "/>
    <s v="160640016168"/>
    <n v="1543068030"/>
    <n v="26577.5"/>
    <m/>
    <m/>
    <m/>
    <x v="4"/>
    <n v="300"/>
    <n v="360"/>
    <n v="5"/>
    <d v="2018-03-02T00:00:00"/>
    <d v="2019-03-02T00:00:00"/>
    <m/>
    <m/>
    <m/>
    <d v="2019-01-17T00:00:00"/>
    <n v="28414166"/>
    <s v="ДПГ-18-02-005/006"/>
    <m/>
    <m/>
    <n v="91"/>
    <m/>
    <m/>
    <m/>
    <m/>
    <x v="0"/>
  </r>
  <r>
    <n v="6"/>
    <s v="ЖК на Гагарина 1"/>
    <d v="2018-04-16T00:00:00"/>
    <x v="2"/>
    <s v="ТОО &quot;Караванный путь&quot;"/>
    <s v="030840007596"/>
    <s v="ТОО &quot;Stroy Baiterek&quot;"/>
    <s v="170740034528"/>
    <n v="1279348120"/>
    <n v="7546.7"/>
    <m/>
    <m/>
    <m/>
    <x v="5"/>
    <n v="126"/>
    <n v="126"/>
    <n v="9"/>
    <d v="2017-08-17T00:00:00"/>
    <d v="2019-02-16T00:00:00"/>
    <m/>
    <m/>
    <m/>
    <d v="2019-01-12T00:00:00"/>
    <n v="15796882"/>
    <s v="ДПГ-18-07-006/007"/>
    <m/>
    <m/>
    <n v="64"/>
    <m/>
    <m/>
    <m/>
    <m/>
    <x v="0"/>
  </r>
  <r>
    <n v="7"/>
    <s v="МЖК Alma City, 2 очередь"/>
    <d v="2018-08-13T00:00:00"/>
    <x v="1"/>
    <s v="ТОО &quot;Qazaq Stroy&quot;"/>
    <s v="050540016141"/>
    <s v="ТОО &quot;Елимай-Invest&quot; "/>
    <s v="160640016168"/>
    <n v="1543068032"/>
    <n v="26577.5"/>
    <m/>
    <m/>
    <m/>
    <x v="6"/>
    <n v="300"/>
    <n v="360"/>
    <n v="5"/>
    <d v="2018-03-02T00:00:00"/>
    <d v="2019-03-02T00:00:00"/>
    <m/>
    <m/>
    <m/>
    <d v="2019-01-17T00:00:00"/>
    <n v="30861361"/>
    <s v="доп.согл. 1 к_x000a_ДПГ-18-02-005/006"/>
    <m/>
    <m/>
    <n v="90"/>
    <m/>
    <m/>
    <m/>
    <m/>
    <x v="0"/>
  </r>
  <r>
    <n v="8"/>
    <s v="МЖК Легенда, 3 очередь, пятна 7, 8,  "/>
    <d v="2018-02-28T00:00:00"/>
    <x v="1"/>
    <s v="ТОО &quot;BAZIS-A Corp.&quot;"/>
    <n v="960340000376"/>
    <s v="ТОО &quot;KAT-Construction&quot;"/>
    <s v="160640015734"/>
    <n v="2198326780"/>
    <n v="12592.6"/>
    <m/>
    <m/>
    <m/>
    <x v="7"/>
    <n v="134"/>
    <n v="134"/>
    <s v="14-15"/>
    <d v="2018-01-16T00:00:00"/>
    <d v="2019-03-16T00:00:00"/>
    <d v="2019-06-16T00:00:00"/>
    <m/>
    <m/>
    <d v="2019-06-17T00:00:00"/>
    <n v="43145556"/>
    <s v="доп.согл. №2 к_x000a_ДПГ-17-02-001/002"/>
    <m/>
    <m/>
    <n v="100"/>
    <m/>
    <m/>
    <m/>
    <m/>
    <x v="0"/>
  </r>
  <r>
    <n v="9"/>
    <s v="ЖК SUNRISE                                 "/>
    <d v="2018-08-13T00:00:00"/>
    <x v="0"/>
    <s v="ТОО &quot;Милан-Астана&quot;"/>
    <s v="110540015593"/>
    <s v="ТОО &quot;Тенгри Хаус Астана&quot;"/>
    <s v="130340016121"/>
    <n v="7519312044"/>
    <n v="29141.3"/>
    <m/>
    <m/>
    <m/>
    <x v="8"/>
    <n v="458"/>
    <n v="569"/>
    <s v="8-9"/>
    <d v="2018-05-10T00:00:00"/>
    <d v="2019-09-10T00:00:00"/>
    <m/>
    <m/>
    <m/>
    <d v="2019-08-26T00:00:00"/>
    <n v="141232414"/>
    <s v="доп.согл. №1 к _x000a_ДПГ-18-01-008/009"/>
    <m/>
    <m/>
    <n v="78"/>
    <m/>
    <m/>
    <m/>
    <m/>
    <x v="0"/>
  </r>
  <r>
    <n v="10"/>
    <s v="ЖК Nova City"/>
    <d v="2018-10-17T00:00:00"/>
    <x v="0"/>
    <s v="ТОО &quot;Милан-Астана&quot;"/>
    <s v="110540015593"/>
    <s v="ТОО &quot;Камал Центр Астана&quot;"/>
    <s v="170540018975"/>
    <n v="6690458969"/>
    <n v="28555.599999999999"/>
    <m/>
    <m/>
    <m/>
    <x v="9"/>
    <n v="467"/>
    <n v="467"/>
    <n v="9"/>
    <d v="2018-07-15T00:00:00"/>
    <d v="2019-11-30T00:00:00"/>
    <d v="2019-11-30T00:00:00"/>
    <m/>
    <m/>
    <d v="2019-11-15T00:00:00"/>
    <n v="127426511"/>
    <s v="ДПГ-18-01-008/011"/>
    <m/>
    <m/>
    <n v="78"/>
    <m/>
    <m/>
    <m/>
    <m/>
    <x v="0"/>
  </r>
  <r>
    <n v="11"/>
    <s v="ЖК Alma City-2"/>
    <d v="2018-12-20T00:00:00"/>
    <x v="1"/>
    <s v="ТОО &quot;Qazaq Stroy&quot;"/>
    <s v="050540016141"/>
    <s v="ТОО &quot;Нұр City Investment&quot;"/>
    <s v="181140015247"/>
    <n v="7891739810"/>
    <n v="66742.5"/>
    <m/>
    <m/>
    <m/>
    <x v="10"/>
    <n v="984"/>
    <n v="1059"/>
    <n v="9"/>
    <d v="2018-11-27T00:00:00"/>
    <d v="2019-11-26T00:00:00"/>
    <m/>
    <m/>
    <m/>
    <d v="2019-11-19T00:00:00"/>
    <n v="141881753"/>
    <s v="ДПГ-18-02-005/012"/>
    <m/>
    <m/>
    <n v="90"/>
    <m/>
    <m/>
    <m/>
    <m/>
    <x v="0"/>
  </r>
  <r>
    <n v="12"/>
    <s v="ЖК Биік Шаңырақ"/>
    <d v="2018-02-16T00:00:00"/>
    <x v="0"/>
    <s v="ТОО &quot;НАЕК&quot;"/>
    <s v="940140001482"/>
    <s v="ТОО &quot;Биік Шаңырақ&quot;"/>
    <s v="140740007872"/>
    <n v="2146903508"/>
    <n v="17848.8"/>
    <m/>
    <m/>
    <m/>
    <x v="11"/>
    <n v="260"/>
    <n v="276"/>
    <n v="14"/>
    <d v="2018-03-01T00:00:00"/>
    <s v="29.02.2019"/>
    <d v="2019-05-31T00:00:00"/>
    <d v="2019-08-31T00:00:00"/>
    <d v="2020-02-29T00:00:00"/>
    <d v="2019-12-04T00:00:00"/>
    <n v="36796147"/>
    <s v="ДПГ-18-01-003/004"/>
    <n v="1302438420"/>
    <m/>
    <n v="77"/>
    <m/>
    <m/>
    <m/>
    <m/>
    <x v="0"/>
  </r>
  <r>
    <n v="13"/>
    <s v="ЖК Бахыт, 1 очередь"/>
    <d v="2018-03-07T00:00:00"/>
    <x v="3"/>
    <s v="ТОО &quot;Оңтүстік құрылыс Сервис&quot;"/>
    <s v="010340004024"/>
    <s v="ТОО &quot;Композит-7&quot;"/>
    <s v="050640012251"/>
    <n v="2458898850"/>
    <n v="16417.7"/>
    <m/>
    <m/>
    <m/>
    <x v="12"/>
    <n v="104"/>
    <n v="104"/>
    <n v="9"/>
    <d v="2018-03-01T00:00:00"/>
    <s v="_x000a_30.04.2019"/>
    <d v="2019-07-30T00:00:00"/>
    <d v="2019-10-30T00:00:00"/>
    <d v="2020-01-30T00:00:00"/>
    <d v="2019-12-25T00:00:00"/>
    <n v="46976477"/>
    <s v="ДПГ-18-13-004/005"/>
    <n v="2458898850"/>
    <m/>
    <n v="64"/>
    <m/>
    <m/>
    <m/>
    <m/>
    <x v="0"/>
  </r>
  <r>
    <n v="14"/>
    <s v="МЖК Легенда, 5 очередь, пятна 9, 10"/>
    <d v="2018-08-01T00:00:00"/>
    <x v="1"/>
    <s v="ТОО &quot;BAZIS-A Corp.&quot;"/>
    <n v="960340000376"/>
    <s v="ТОО &quot;KAT-Construction&quot;"/>
    <s v="160640015734"/>
    <n v="2502632570"/>
    <n v="12341.8"/>
    <m/>
    <m/>
    <m/>
    <x v="13"/>
    <n v="94"/>
    <n v="94"/>
    <s v="14-15"/>
    <d v="2018-06-29T00:00:00"/>
    <d v="2020-01-29T00:00:00"/>
    <m/>
    <m/>
    <m/>
    <d v="2019-12-23T00:00:00"/>
    <n v="48468231"/>
    <s v="доп.согл. №3 к _x000a_ДПГ-17-02-001/002"/>
    <m/>
    <m/>
    <n v="83"/>
    <m/>
    <m/>
    <m/>
    <m/>
    <x v="0"/>
  </r>
  <r>
    <n v="15"/>
    <s v="ЖК Триумфальная арка-2                                          "/>
    <d v="2018-08-22T00:00:00"/>
    <x v="0"/>
    <s v="ТОО &quot;Ңұр Астана Құрылыс&quot;"/>
    <s v="060140000846"/>
    <s v="ТОО &quot;Мангилик Ел Курылыс&quot;"/>
    <s v="170240033531"/>
    <n v="5341879260"/>
    <n v="23920.799999999999"/>
    <m/>
    <m/>
    <m/>
    <x v="14"/>
    <n v="142"/>
    <n v="136"/>
    <s v="4,7,9"/>
    <d v="2018-06-18T00:00:00"/>
    <d v="2020-06-18T00:00:00"/>
    <m/>
    <m/>
    <m/>
    <d v="2020-05-26T00:00:00"/>
    <n v="93091230"/>
    <s v="ДПГ-18-01-009/010"/>
    <m/>
    <m/>
    <n v="67"/>
    <m/>
    <m/>
    <m/>
    <m/>
    <x v="0"/>
  </r>
  <r>
    <n v="16"/>
    <s v="МЖК Багыстан, 1-я очередь, 2-очередь, 1, 3 позиции"/>
    <d v="2018-04-20T00:00:00"/>
    <x v="0"/>
    <s v="ТОО &quot;Шар Курылыс&quot;"/>
    <s v="980740001878"/>
    <s v="ТОО &quot;Бағыстан&quot;"/>
    <s v="161140023096"/>
    <n v="6541727260"/>
    <n v="41688.6"/>
    <m/>
    <m/>
    <m/>
    <x v="15"/>
    <n v="324"/>
    <n v="324"/>
    <s v="5,7,9"/>
    <d v="2017-07-05T00:00:00"/>
    <s v="1 позиция - 10.08.2021г.;                                        3 позиция - 20.10.2021г."/>
    <d v="2020-10-30T00:00:00"/>
    <d v="2021-01-30T00:00:00"/>
    <d v="2021-04-30T00:00:00"/>
    <d v="2021-10-20T00:00:00"/>
    <n v="110832077"/>
    <s v="ДПГ-18-01-007/008"/>
    <m/>
    <m/>
    <n v="83"/>
    <m/>
    <m/>
    <m/>
    <m/>
    <x v="0"/>
  </r>
  <r>
    <n v="17"/>
    <s v="МЖК Багыстан, 3-я очередь, 7 позиция"/>
    <d v="2018-07-05T00:00:00"/>
    <x v="0"/>
    <s v="ТОО &quot;Шар Курылыс&quot;"/>
    <s v="980740001878"/>
    <s v="ТОО &quot;Бағыстан&quot;"/>
    <s v="161140023096"/>
    <n v="3024902930"/>
    <n v="13362.1"/>
    <m/>
    <m/>
    <m/>
    <x v="16"/>
    <n v="152"/>
    <n v="152"/>
    <s v="5,7,9"/>
    <d v="2017-11-01T00:00:00"/>
    <s v="_x000a_20.10.2021"/>
    <d v="2020-10-30T00:00:00"/>
    <d v="2021-01-30T00:00:00"/>
    <d v="2021-04-30T00:00:00"/>
    <d v="2021-10-20T00:00:00"/>
    <n v="56590879"/>
    <s v="доп.согл.№1 к _x000a_ДПГ-18-01-007/008"/>
    <m/>
    <m/>
    <n v="83"/>
    <m/>
    <m/>
    <m/>
    <m/>
    <x v="0"/>
  </r>
  <r>
    <n v="18"/>
    <s v="МЖК Багыстан, 4-я очередь, 11 позиция"/>
    <d v="2018-08-13T00:00:00"/>
    <x v="0"/>
    <s v="ТОО &quot;Шар Курылыс&quot;"/>
    <s v="980740001878"/>
    <s v="ТОО &quot;Бағыстан&quot;"/>
    <s v="161140023096"/>
    <n v="3014702450"/>
    <n v="13367.2"/>
    <m/>
    <m/>
    <m/>
    <x v="17"/>
    <n v="152"/>
    <n v="152"/>
    <s v="5,7,9"/>
    <d v="2018-06-15T00:00:00"/>
    <s v="_x000a_30.07.2020"/>
    <d v="2020-10-30T00:00:00"/>
    <d v="2021-01-30T00:00:00"/>
    <d v="2021-04-30T00:00:00"/>
    <d v="2021-10-20T00:00:00"/>
    <n v="59088033"/>
    <s v="доп.согл.№3 к _x000a_ДПГ-18-01-007/008"/>
    <m/>
    <m/>
    <n v="83"/>
    <m/>
    <m/>
    <m/>
    <m/>
    <x v="0"/>
  </r>
  <r>
    <n v="19"/>
    <s v="МЖК Sezim Qala, 1 очередь"/>
    <d v="2019-02-19T00:00:00"/>
    <x v="0"/>
    <s v="ТОО &quot;Милан-Астана&quot;"/>
    <s v="110540015593"/>
    <s v="ТОО &quot;Туран Сити&quot;"/>
    <s v="170340033307"/>
    <n v="4220953472"/>
    <n v="21443"/>
    <m/>
    <m/>
    <m/>
    <x v="18"/>
    <n v="277"/>
    <n v="266"/>
    <n v="9.1199999999999992"/>
    <d v="2018-12-07T00:00:00"/>
    <d v="2020-11-07T00:00:00"/>
    <m/>
    <m/>
    <m/>
    <d v="2019-12-25T00:00:00"/>
    <n v="79630069"/>
    <s v="доп.согл.№1 к _x000a_ДПГ-19-01-008/015"/>
    <m/>
    <m/>
    <n v="78"/>
    <m/>
    <m/>
    <m/>
    <m/>
    <x v="0"/>
  </r>
  <r>
    <n v="20"/>
    <s v="ЖК Легенда, 4 очередь (пятна 11, 12)"/>
    <d v="2019-02-27T00:00:00"/>
    <x v="1"/>
    <s v="ТОО &quot;BAZIS-A Corp.&quot;"/>
    <n v="960340000376"/>
    <s v="ТОО &quot;KAT-Construction&quot;"/>
    <s v="160640015734"/>
    <n v="1957311630"/>
    <n v="12418.3"/>
    <m/>
    <m/>
    <m/>
    <x v="19"/>
    <n v="142"/>
    <n v="142"/>
    <s v="14-15"/>
    <d v="2019-01-16T00:00:00"/>
    <d v="2019-12-16T00:00:00"/>
    <d v="2020-03-16T00:00:00"/>
    <m/>
    <m/>
    <d v="2020-02-05T00:00:00"/>
    <n v="37257013"/>
    <s v="доп.согл.№7 к_x000a_ДПГ-17-02-001/002"/>
    <m/>
    <m/>
    <n v="83"/>
    <m/>
    <m/>
    <m/>
    <m/>
    <x v="0"/>
  </r>
  <r>
    <n v="21"/>
    <s v="МЖК Nova City, 19 очередь"/>
    <d v="2019-02-05T00:00:00"/>
    <x v="0"/>
    <s v="ТОО &quot;Милан-Астана&quot;"/>
    <s v="110540015593"/>
    <s v="ТОО &quot;Esil Town&quot;"/>
    <s v="181140019271"/>
    <n v="2227028801"/>
    <n v="8855.8700000000008"/>
    <m/>
    <m/>
    <m/>
    <x v="20"/>
    <n v="150"/>
    <n v="150"/>
    <n v="9"/>
    <d v="2019-02-25T00:00:00"/>
    <d v="2020-04-25T00:00:00"/>
    <m/>
    <m/>
    <m/>
    <d v="2020-04-17T00:00:00"/>
    <n v="43834498"/>
    <s v="ДПГ-19-01-001/014"/>
    <m/>
    <m/>
    <n v="78"/>
    <m/>
    <m/>
    <m/>
    <m/>
    <x v="0"/>
  </r>
  <r>
    <n v="22"/>
    <s v="МЖК Alma City, 3-оч. 1-й пуск.комплекс"/>
    <d v="2019-09-18T00:00:00"/>
    <x v="1"/>
    <s v="ТОО &quot;Qazaq Stroy&quot;"/>
    <s v="050540016141"/>
    <s v="ТОО &quot;ЫРЫСТЫ 46/2&quot;"/>
    <s v="190340022583"/>
    <n v="6600809540"/>
    <n v="64684.2"/>
    <m/>
    <m/>
    <m/>
    <x v="21"/>
    <n v="1008"/>
    <n v="1118"/>
    <n v="9"/>
    <d v="2019-09-03T00:00:00"/>
    <d v="2021-03-02T00:00:00"/>
    <m/>
    <m/>
    <m/>
    <d v="2020-05-14T00:00:00"/>
    <n v="132016191"/>
    <s v="ДПГ-19-02-005/024"/>
    <m/>
    <m/>
    <n v="81"/>
    <m/>
    <m/>
    <m/>
    <m/>
    <x v="0"/>
  </r>
  <r>
    <n v="23"/>
    <s v="МЖК Амстердам, пятна 4,5,6,7,15.1"/>
    <d v="2019-01-17T00:00:00"/>
    <x v="0"/>
    <s v="ТОО &quot;BAZIS-A Corp.&quot;"/>
    <n v="960340000376"/>
    <s v="ТОО &quot;Amsterdam City&quot; "/>
    <s v="180640022394"/>
    <n v="3484165830"/>
    <n v="20748.3"/>
    <m/>
    <m/>
    <m/>
    <x v="18"/>
    <n v="110"/>
    <n v="100"/>
    <s v="9-10"/>
    <d v="2018-09-14T00:00:00"/>
    <d v="2020-07-30T00:00:00"/>
    <m/>
    <m/>
    <m/>
    <d v="2020-07-27T00:00:00"/>
    <n v="68156153"/>
    <s v="ДПГ-19-01-001/013"/>
    <m/>
    <m/>
    <n v="83"/>
    <m/>
    <m/>
    <m/>
    <m/>
    <x v="0"/>
  </r>
  <r>
    <n v="24"/>
    <s v="ЖК Nova City 16 очередь"/>
    <d v="2019-06-18T00:00:00"/>
    <x v="0"/>
    <s v="ТОО &quot;Милан-Астана&quot;"/>
    <s v="110540015593"/>
    <s v="ТОО &quot;NC16&quot;"/>
    <s v="181240011486"/>
    <n v="4429569296"/>
    <n v="20614.560000000001"/>
    <m/>
    <m/>
    <m/>
    <x v="22"/>
    <n v="242"/>
    <n v="242"/>
    <n v="9"/>
    <d v="2019-05-03T00:00:00"/>
    <d v="2020-10-03T00:00:00"/>
    <m/>
    <m/>
    <m/>
    <d v="2020-08-06T00:00:00"/>
    <n v="86509774"/>
    <s v="ДПГ-19-01-008/016"/>
    <m/>
    <m/>
    <n v="91"/>
    <m/>
    <m/>
    <m/>
    <m/>
    <x v="0"/>
  </r>
  <r>
    <n v="25"/>
    <s v="МЖК Парасат, пятно 1,2"/>
    <d v="2019-11-14T00:00:00"/>
    <x v="1"/>
    <s v="ТОО &quot;SHEBERBUILD&quot;"/>
    <s v="070240017648"/>
    <s v="ТОО &quot;SHEBERGOOD&quot;"/>
    <s v="070240017648"/>
    <n v="1733779999"/>
    <n v="7731.36"/>
    <m/>
    <m/>
    <m/>
    <x v="23"/>
    <n v="143"/>
    <n v="143"/>
    <n v="9"/>
    <d v="2019-10-22T00:00:00"/>
    <d v="2020-05-22T00:00:00"/>
    <d v="2020-08-22T00:00:00"/>
    <m/>
    <m/>
    <d v="2020-08-21T00:00:00"/>
    <n v="30929009"/>
    <s v="ДПГ-19-02-013/030"/>
    <m/>
    <m/>
    <n v="70"/>
    <m/>
    <m/>
    <m/>
    <m/>
    <x v="0"/>
  </r>
  <r>
    <n v="26"/>
    <s v="ЖК Премьера "/>
    <d v="2019-07-30T00:00:00"/>
    <x v="3"/>
    <s v="ТОО &quot;Оңтүстік құрылыс Сервис&quot;"/>
    <s v="010340004024"/>
    <s v="ТОО &quot;Dostyq Invest Group&quot;"/>
    <s v="190140008530"/>
    <n v="1355115090"/>
    <n v="8903.44"/>
    <m/>
    <m/>
    <m/>
    <x v="24"/>
    <n v="80"/>
    <n v="80"/>
    <n v="5"/>
    <d v="2019-06-19T00:00:00"/>
    <d v="2020-05-19T00:00:00"/>
    <d v="2020-08-19T00:00:00"/>
    <d v="2020-10-19T00:00:00"/>
    <m/>
    <d v="2020-08-25T00:00:00"/>
    <n v="24228296"/>
    <s v="ДПГ-19-13-004/020"/>
    <m/>
    <m/>
    <n v="61"/>
    <m/>
    <m/>
    <m/>
    <m/>
    <x v="0"/>
  </r>
  <r>
    <n v="27"/>
    <s v="МЖК Nova City, 22 очередь"/>
    <d v="2019-07-30T00:00:00"/>
    <x v="0"/>
    <s v="ТОО &quot;Милан-Астана&quot;"/>
    <s v="110540015593"/>
    <s v="ТОО &quot;NC 22&quot;"/>
    <s v="190340029392"/>
    <n v="2453517883"/>
    <n v="8855.8700000000008"/>
    <m/>
    <m/>
    <m/>
    <x v="25"/>
    <n v="150"/>
    <n v="150"/>
    <n v="9"/>
    <d v="2019-06-10T00:00:00"/>
    <d v="2020-10-10T00:00:00"/>
    <m/>
    <m/>
    <m/>
    <d v="2020-10-08T00:00:00"/>
    <n v="48045915"/>
    <s v="ДПГ-19-01-008/021"/>
    <m/>
    <m/>
    <n v="91"/>
    <m/>
    <m/>
    <m/>
    <m/>
    <x v="0"/>
  </r>
  <r>
    <n v="28"/>
    <s v="ЖК ASQAT "/>
    <d v="2019-07-19T00:00:00"/>
    <x v="0"/>
    <s v="ТОО &quot;АсТи-Строй&quot;"/>
    <s v="030740000258"/>
    <s v="ТОО &quot;ASTI GROUP&quot;"/>
    <s v="071240012104"/>
    <n v="3019265161"/>
    <n v="15344.61"/>
    <m/>
    <m/>
    <m/>
    <x v="26"/>
    <n v="108"/>
    <n v="108"/>
    <n v="7"/>
    <d v="2019-06-17T00:00:00"/>
    <d v="2020-12-15T00:00:00"/>
    <m/>
    <m/>
    <m/>
    <d v="2020-11-30T00:00:00"/>
    <n v="50272872"/>
    <s v="ДПГ-19-01-010/018"/>
    <m/>
    <m/>
    <n v="91"/>
    <m/>
    <m/>
    <m/>
    <m/>
    <x v="0"/>
  </r>
  <r>
    <n v="29"/>
    <s v="МЖК Argento, пятно 3"/>
    <d v="2020-09-07T00:00:00"/>
    <x v="0"/>
    <s v="ТОО &quot;BAZIS-A Corp.&quot;"/>
    <n v="960340000376"/>
    <s v="ТОО &quot;Строй Билдинг Астана&quot;"/>
    <s v="170840009898"/>
    <n v="1136489476"/>
    <n v="7918.13"/>
    <m/>
    <m/>
    <m/>
    <x v="27"/>
    <n v="85"/>
    <n v="85"/>
    <n v="18"/>
    <d v="2020-05-05T00:00:00"/>
    <d v="2021-08-05T00:00:00"/>
    <m/>
    <m/>
    <m/>
    <d v="2021-07-21T00:00:00"/>
    <n v="19307570"/>
    <s v="ДПГ-19-01-001/017"/>
    <m/>
    <m/>
    <n v="84"/>
    <m/>
    <m/>
    <m/>
    <m/>
    <x v="0"/>
  </r>
  <r>
    <n v="30"/>
    <s v="МЖК 12 месяцев (на Макатаева), 1-очередь"/>
    <d v="2019-09-18T00:00:00"/>
    <x v="1"/>
    <s v="ТОО &quot;Qazaq Stroy&quot;"/>
    <s v="050540016141"/>
    <s v="ТОО &quot;Макатаева 127&quot;"/>
    <s v="190340022513"/>
    <n v="5130621336"/>
    <n v="36276.5"/>
    <m/>
    <m/>
    <m/>
    <x v="21"/>
    <n v="432"/>
    <n v="468"/>
    <n v="12"/>
    <d v="2019-09-04T00:00:00"/>
    <d v="2020-12-23T00:00:00"/>
    <m/>
    <m/>
    <m/>
    <d v="2020-12-23T00:00:00"/>
    <n v="102612427"/>
    <s v="ДПГ-19-02-005/025"/>
    <m/>
    <m/>
    <n v="81"/>
    <m/>
    <m/>
    <m/>
    <m/>
    <x v="0"/>
  </r>
  <r>
    <n v="31"/>
    <s v="ЖК Argento пятно 4, Наружные сети "/>
    <d v="2019-06-27T00:00:00"/>
    <x v="0"/>
    <s v="ТОО &quot;BAZIS-A Corp.&quot;"/>
    <n v="960340000376"/>
    <s v="ТОО &quot;Строй Билдинг Астана&quot;"/>
    <s v="170840009898"/>
    <n v="2161436079"/>
    <n v="12298.3"/>
    <m/>
    <m/>
    <m/>
    <x v="27"/>
    <n v="100"/>
    <n v="100"/>
    <n v="21"/>
    <d v="2019-05-29T00:00:00"/>
    <d v="2020-09-29T00:00:00"/>
    <d v="2020-12-29T00:00:00"/>
    <m/>
    <m/>
    <d v="2020-12-28T00:00:00"/>
    <n v="41160642"/>
    <s v="ДПГ-19-01-001/017"/>
    <m/>
    <m/>
    <n v="78"/>
    <m/>
    <m/>
    <m/>
    <m/>
    <x v="0"/>
  </r>
  <r>
    <n v="32"/>
    <s v="ЖК Амстердам, пятна 1,2,3"/>
    <d v="2019-11-08T00:00:00"/>
    <x v="0"/>
    <s v="ТОО &quot;BAZIS-A Corp.&quot;"/>
    <n v="960340000376"/>
    <s v="ТОО &quot;Amsterdam City&quot;"/>
    <s v="180640022394"/>
    <n v="2176943630"/>
    <n v="11705.1"/>
    <m/>
    <m/>
    <m/>
    <x v="28"/>
    <n v="82"/>
    <n v="82"/>
    <n v="9.1"/>
    <d v="2019-09-04T00:00:00"/>
    <d v="2020-12-28T00:00:00"/>
    <m/>
    <m/>
    <m/>
    <d v="2020-12-28T00:00:00"/>
    <n v="42801333"/>
    <s v="доп.согл.№ 1 к_x000a_ДПГ-19-01-001/013"/>
    <m/>
    <m/>
    <n v="84"/>
    <m/>
    <m/>
    <m/>
    <m/>
    <x v="0"/>
  </r>
  <r>
    <n v="33"/>
    <s v="ЖК Бахыт, 2 очередь"/>
    <d v="2019-06-12T00:00:00"/>
    <x v="3"/>
    <s v="ТОО &quot;Оңтүстік құрылыс Сервис&quot;"/>
    <s v="010340004024"/>
    <s v="ТОО &quot;Композит-7&quot;"/>
    <s v="050640012251"/>
    <n v="4853681279"/>
    <n v="27937.7"/>
    <m/>
    <m/>
    <m/>
    <x v="29"/>
    <n v="168"/>
    <n v="168"/>
    <n v="9"/>
    <d v="2019-05-03T00:00:00"/>
    <d v="2021-03-03T00:00:00"/>
    <d v="2021-06-03T00:00:00"/>
    <m/>
    <m/>
    <d v="2021-02-20T00:00:00"/>
    <n v="77180276"/>
    <s v="доп.согл. №3 к_x000a_ДПГ-18-13-004/005"/>
    <n v="3859013800"/>
    <m/>
    <n v="61"/>
    <m/>
    <m/>
    <m/>
    <m/>
    <x v="0"/>
  </r>
  <r>
    <n v="34"/>
    <s v="ЖК Ак Дидар, пятна 9-13"/>
    <d v="2019-08-15T00:00:00"/>
    <x v="0"/>
    <s v="ТОО &quot;BAZIS-A Corp.&quot;"/>
    <n v="960340000376"/>
    <s v="ТОО &quot;Ак Дидар-2&quot;"/>
    <s v="170840012253"/>
    <n v="2415410355"/>
    <n v="16376.6"/>
    <m/>
    <m/>
    <m/>
    <x v="30"/>
    <n v="276"/>
    <n v="248"/>
    <n v="9"/>
    <d v="2019-05-28T00:00:00"/>
    <d v="2021-02-28T00:00:00"/>
    <d v="2021-05-28T00:00:00"/>
    <m/>
    <m/>
    <d v="2021-03-29T00:00:00"/>
    <n v="48308207.100000001"/>
    <s v="ДПГ-19-01-001/022"/>
    <m/>
    <m/>
    <n v="78"/>
    <m/>
    <m/>
    <m/>
    <m/>
    <x v="0"/>
  </r>
  <r>
    <m/>
    <s v="Увеличение стоимости _x000a_ЖК &quot;Ак Дидар&quot;, (пятна 9-13)"/>
    <d v="2020-02-14T00:00:00"/>
    <x v="0"/>
    <s v="ТОО &quot;BAZIS-A Corp.&quot;"/>
    <n v="960340000376"/>
    <s v="ТОО &quot;Ак Дидар-2&quot;"/>
    <s v="170840012253"/>
    <n v="698876654"/>
    <n v="4954"/>
    <m/>
    <m/>
    <m/>
    <x v="31"/>
    <n v="0"/>
    <n v="0"/>
    <s v="-"/>
    <d v="2019-05-28T00:00:00"/>
    <d v="2021-02-28T00:00:00"/>
    <d v="2021-05-28T00:00:00"/>
    <m/>
    <m/>
    <d v="2021-03-29T00:00:00"/>
    <n v="13977533"/>
    <s v="доп.согл. №1 к _x000a_ДПГ-19-01-001/022"/>
    <m/>
    <m/>
    <n v="78"/>
    <m/>
    <m/>
    <m/>
    <m/>
    <x v="0"/>
  </r>
  <r>
    <n v="35"/>
    <s v="ЖК Aspan City"/>
    <d v="2019-07-19T00:00:00"/>
    <x v="4"/>
    <s v="ТОО &quot;Exclusive Construction (Эксклюзив Констракшн)&quot;"/>
    <s v="051040013647"/>
    <s v="ТОО &quot;Aspan City 2&quot;"/>
    <s v="181040020140"/>
    <n v="4672680111"/>
    <n v="23277.66"/>
    <m/>
    <m/>
    <m/>
    <x v="32"/>
    <n v="288"/>
    <n v="267"/>
    <n v="12"/>
    <d v="2019-07-05T00:00:00"/>
    <d v="2020-08-15T00:00:00"/>
    <d v="2020-11-15T00:00:00"/>
    <d v="2021-02-15T00:00:00"/>
    <d v="2021-05-15T00:00:00"/>
    <d v="2021-05-05T00:00:00"/>
    <n v="93453602"/>
    <s v="ДПГ-19-02-011/019"/>
    <m/>
    <m/>
    <n v="73"/>
    <m/>
    <m/>
    <m/>
    <m/>
    <x v="0"/>
  </r>
  <r>
    <n v="36"/>
    <s v="МЖК Бестерек, пятно 1"/>
    <d v="2019-09-18T00:00:00"/>
    <x v="0"/>
    <s v="ТОО &quot;Милан-Астана&quot;"/>
    <s v="110540015593"/>
    <s v="ТОО &quot;BI-Village Deluxe&quot;"/>
    <s v="070340010951"/>
    <n v="6019547133"/>
    <n v="26723.09"/>
    <m/>
    <m/>
    <m/>
    <x v="33"/>
    <n v="307"/>
    <n v="307"/>
    <n v="8"/>
    <d v="2019-07-16T00:00:00"/>
    <d v="2021-06-16T00:00:00"/>
    <m/>
    <m/>
    <m/>
    <d v="2021-06-14T00:00:00"/>
    <n v="119220603"/>
    <s v="ДПГ-19-01-008/023"/>
    <m/>
    <m/>
    <n v="91"/>
    <m/>
    <m/>
    <m/>
    <m/>
    <x v="0"/>
  </r>
  <r>
    <n v="37"/>
    <s v="МЖК Sezim Qala, 4 очередь"/>
    <d v="2019-11-22T00:00:00"/>
    <x v="0"/>
    <s v="ТОО &quot;Милан-Астана&quot;"/>
    <s v="110540015593"/>
    <s v="ТОО &quot;Туран Сити&quot;"/>
    <s v="170340033307"/>
    <n v="3663548205"/>
    <n v="19815.5"/>
    <m/>
    <m/>
    <m/>
    <x v="34"/>
    <n v="278"/>
    <n v="278"/>
    <s v="2, 9, 12"/>
    <d v="2019-10-21T00:00:00"/>
    <d v="2021-07-16T00:00:00"/>
    <m/>
    <m/>
    <m/>
    <d v="2021-06-16T00:00:00"/>
    <n v="72343291"/>
    <s v="доп.согл.№3 к _x000a_ДПГ-19-01-008/015"/>
    <m/>
    <m/>
    <n v="91"/>
    <m/>
    <m/>
    <m/>
    <m/>
    <x v="0"/>
  </r>
  <r>
    <n v="38"/>
    <s v="ЖК Sezim Qala, 7 очередь"/>
    <d v="2019-10-10T00:00:00"/>
    <x v="0"/>
    <s v="ТОО &quot;Милан-Астана&quot;"/>
    <s v="110540015593"/>
    <s v="ТОО &quot;Туран Сити&quot;"/>
    <s v="170340033307"/>
    <n v="5814608330"/>
    <n v="32516"/>
    <m/>
    <m/>
    <m/>
    <x v="35"/>
    <n v="408"/>
    <n v="408"/>
    <n v="22"/>
    <d v="2019-08-27T00:00:00"/>
    <d v="2021-10-27T00:00:00"/>
    <m/>
    <m/>
    <m/>
    <d v="2021-05-31T00:00:00"/>
    <n v="114777807"/>
    <s v="доп.согл.№2 к _x000a_ДПГ-19-01-008/015"/>
    <m/>
    <m/>
    <n v="91"/>
    <m/>
    <m/>
    <m/>
    <m/>
    <x v="0"/>
  </r>
  <r>
    <n v="39"/>
    <s v="ЖК Гулдер, 2-очередь, пятна 9,10,11,12,13,14"/>
    <d v="2019-11-08T00:00:00"/>
    <x v="1"/>
    <s v="ТОО &quot;Милан-Астана&quot;"/>
    <s v="110540015593"/>
    <s v="ТОО &quot;Сармат Групп-2&quot;"/>
    <s v="190640001234"/>
    <n v="6837749056"/>
    <n v="32575.200000000001"/>
    <m/>
    <m/>
    <m/>
    <x v="28"/>
    <n v="431"/>
    <n v="431"/>
    <n v="12.16"/>
    <d v="2019-09-23T00:00:00"/>
    <s v=" 18.05.2021"/>
    <d v="2021-08-18T00:00:00"/>
    <m/>
    <m/>
    <d v="2021-06-29T00:00:00"/>
    <n v="134440701"/>
    <s v="ДПГ-19-01-008/028"/>
    <m/>
    <m/>
    <n v="91"/>
    <m/>
    <m/>
    <m/>
    <m/>
    <x v="0"/>
  </r>
  <r>
    <n v="40"/>
    <s v="ЖК Сердце Столицы, 1 очередь"/>
    <d v="2019-10-10T00:00:00"/>
    <x v="0"/>
    <s v="ТОО &quot;Милан-Астана&quot;"/>
    <s v="110540015593"/>
    <s v="ТОО &quot;Turan Towers&quot;"/>
    <s v="161040020830"/>
    <n v="6825821599"/>
    <n v="34967.370000000003"/>
    <m/>
    <m/>
    <m/>
    <x v="36"/>
    <n v="291"/>
    <n v="291"/>
    <s v="7,9,12,19"/>
    <d v="2019-08-15T00:00:00"/>
    <s v=" 03.08.2021"/>
    <d v="2021-04-04T00:00:00"/>
    <d v="2021-07-04T00:00:00"/>
    <d v="2021-10-04T00:00:00"/>
    <d v="2021-08-03T00:00:00"/>
    <n v="132982359"/>
    <s v="ДПГ-19-01-008/027"/>
    <m/>
    <m/>
    <n v="91"/>
    <m/>
    <m/>
    <m/>
    <m/>
    <x v="0"/>
  </r>
  <r>
    <m/>
    <s v="Увеличение стоимости _x000a_МЖК Сердце Столицы, 1 оч. Наружные инженерные сети"/>
    <d v="2020-04-15T00:00:00"/>
    <x v="0"/>
    <s v="ТОО &quot;Милан-Астана&quot;"/>
    <s v="110540015593"/>
    <s v="ТОО &quot;Turan Towers&quot;"/>
    <s v="161040020830"/>
    <n v="1323442100"/>
    <n v="0"/>
    <m/>
    <m/>
    <m/>
    <x v="37"/>
    <n v="0"/>
    <n v="0"/>
    <s v="1, 7, 9, 12, 19"/>
    <d v="2020-04-07T00:00:00"/>
    <d v="2022-04-07T00:00:00"/>
    <m/>
    <m/>
    <m/>
    <d v="2021-08-03T00:00:00"/>
    <n v="26468842"/>
    <s v="доп.согл.№1 к _x000a_ДПГ-19-01-008/027"/>
    <m/>
    <m/>
    <n v="91"/>
    <m/>
    <m/>
    <m/>
    <m/>
    <x v="0"/>
  </r>
  <r>
    <n v="41"/>
    <s v="ЖК Абылайхан-2, пятна 4, 5, 6, 7"/>
    <d v="2019-10-10T00:00:00"/>
    <x v="0"/>
    <s v="ТОО &quot;Корпорация Астана-Стройинвест&quot;"/>
    <s v="000740002447"/>
    <s v="ТОО &quot;СУ АСИ&quot;"/>
    <m/>
    <n v="5253239788"/>
    <n v="38863.78"/>
    <m/>
    <m/>
    <m/>
    <x v="38"/>
    <n v="346"/>
    <n v="348"/>
    <n v="13"/>
    <d v="2019-09-13T00:00:00"/>
    <d v="2021-05-08T00:00:00"/>
    <d v="2021-08-08T00:00:00"/>
    <d v="2021-11-08T00:00:00"/>
    <m/>
    <d v="2021-10-25T00:00:00"/>
    <n v="93660141"/>
    <s v="ДПГ-19-01-012/026"/>
    <m/>
    <m/>
    <n v="75"/>
    <m/>
    <m/>
    <m/>
    <m/>
    <x v="0"/>
  </r>
  <r>
    <n v="42"/>
    <s v="ЖК Discovery, Пятно 3. Блоки 1, 2, 5"/>
    <d v="2019-11-08T00:00:00"/>
    <x v="0"/>
    <s v="ТОО &quot;BAZIS-A Corp.&quot;"/>
    <n v="960340000376"/>
    <s v="ТОО &quot;Astana Real Estate 2017&quot;  "/>
    <s v="170640002219"/>
    <n v="2439912400"/>
    <n v="19742.650000000001"/>
    <m/>
    <m/>
    <m/>
    <x v="39"/>
    <n v="165"/>
    <n v="165"/>
    <n v="9"/>
    <d v="2019-06-19T00:00:00"/>
    <d v="2020-10-19T00:00:00"/>
    <d v="2021-01-19T00:00:00"/>
    <d v="2021-04-19T00:00:00"/>
    <m/>
    <d v="2022-03-17T00:00:00"/>
    <n v="47152489"/>
    <s v="ДПГ-19-01-001/029"/>
    <n v="820792616"/>
    <s v="Нуржубалин Н. "/>
    <n v="78"/>
    <m/>
    <m/>
    <m/>
    <m/>
    <x v="0"/>
  </r>
  <r>
    <n v="43"/>
    <s v="ЖК ASQAT, очередь 2 "/>
    <d v="2020-02-14T00:00:00"/>
    <x v="0"/>
    <s v="ТОО &quot;АсТи-Строй&quot;"/>
    <s v="030740000258"/>
    <s v="ТОО &quot;ASTI GROUP&quot;"/>
    <s v="071240012104"/>
    <n v="1604244431"/>
    <n v="9352.08"/>
    <m/>
    <m/>
    <m/>
    <x v="40"/>
    <n v="106"/>
    <n v="106"/>
    <n v="7"/>
    <d v="2020-01-21T00:00:00"/>
    <d v="2020-11-26T00:00:00"/>
    <d v="2020-11-30T00:00:00"/>
    <m/>
    <m/>
    <d v="2020-11-30T00:00:00"/>
    <n v="44498721"/>
    <s v="доп.согл. №1 к_x000a_ДПГ-19-01-010/018"/>
    <m/>
    <m/>
    <n v="91"/>
    <m/>
    <m/>
    <m/>
    <m/>
    <x v="0"/>
  </r>
  <r>
    <n v="44"/>
    <s v="ЖК ASQAT, очередь 3"/>
    <d v="2020-02-14T00:00:00"/>
    <x v="0"/>
    <s v="ТОО &quot;АсТи-Строй&quot;"/>
    <s v="030740000258"/>
    <s v="ТОО &quot;ASTI GROUP&quot;"/>
    <s v="071240012104"/>
    <n v="1643232216"/>
    <n v="9309.83"/>
    <m/>
    <m/>
    <m/>
    <x v="40"/>
    <n v="107"/>
    <n v="107"/>
    <n v="7"/>
    <d v="2020-01-22T00:00:00"/>
    <d v="2020-11-26T00:00:00"/>
    <d v="2020-11-30T00:00:00"/>
    <m/>
    <m/>
    <d v="2020-11-30T00:00:00"/>
    <m/>
    <m/>
    <m/>
    <m/>
    <n v="91"/>
    <m/>
    <m/>
    <m/>
    <m/>
    <x v="0"/>
  </r>
  <r>
    <n v="45"/>
    <s v="МЖК Alma City, 3-оч. 2-й пуск.комплекс"/>
    <d v="2020-01-30T00:00:00"/>
    <x v="1"/>
    <s v="ТОО &quot;Qazaq Stroy&quot;"/>
    <s v="050540016141"/>
    <s v="ТОО &quot;ЫРЫСТЫ 46/2&quot;"/>
    <s v="190340022583"/>
    <n v="7211511710"/>
    <n v="78453.75"/>
    <m/>
    <m/>
    <m/>
    <x v="41"/>
    <n v="1122"/>
    <n v="1248"/>
    <n v="9"/>
    <d v="2019-09-03T00:00:00"/>
    <d v="2020-12-22T00:00:00"/>
    <m/>
    <m/>
    <m/>
    <d v="2020-12-22T00:00:00"/>
    <n v="129729726"/>
    <m/>
    <m/>
    <m/>
    <n v="84"/>
    <m/>
    <m/>
    <m/>
    <m/>
    <x v="0"/>
  </r>
  <r>
    <n v="46"/>
    <s v="МЖК 12 месяцев (на Макатаева)"/>
    <d v="2020-01-30T00:00:00"/>
    <x v="1"/>
    <s v="ТОО &quot;Qazaq Stroy&quot;"/>
    <s v="050540016141"/>
    <s v="ТОО &quot;Макатаева 127&quot;"/>
    <s v="190340022513"/>
    <n v="4696993688"/>
    <n v="35931.5"/>
    <m/>
    <m/>
    <m/>
    <x v="41"/>
    <n v="576"/>
    <n v="624"/>
    <n v="12"/>
    <d v="2020-01-13T00:00:00"/>
    <d v="2020-12-23T00:00:00"/>
    <m/>
    <m/>
    <m/>
    <d v="2020-12-23T00:00:00"/>
    <n v="93939874"/>
    <s v="доп.согл. №2 к_x000a_ДПГ-19-02-005/025"/>
    <m/>
    <m/>
    <n v="84"/>
    <m/>
    <m/>
    <m/>
    <m/>
    <x v="0"/>
  </r>
  <r>
    <n v="47"/>
    <s v="ЖК Нурсая"/>
    <d v="2020-05-19T00:00:00"/>
    <x v="5"/>
    <s v="ТОО &quot;Direct Construction Service&quot;"/>
    <s v="050440002386"/>
    <s v="ТОО &quot;Yerkin Management Group&quot;"/>
    <s v="170640031311"/>
    <n v="405171695"/>
    <n v="2903"/>
    <m/>
    <m/>
    <m/>
    <x v="42"/>
    <n v="40"/>
    <n v="40"/>
    <n v="4"/>
    <d v="2020-03-13T00:00:00"/>
    <s v=" 31.12.2020"/>
    <d v="2021-01-26T00:00:00"/>
    <m/>
    <m/>
    <d v="2020-12-31T00:00:00"/>
    <n v="6007292"/>
    <s v="ДПГ-20-06-018/040"/>
    <m/>
    <m/>
    <n v="80"/>
    <m/>
    <m/>
    <m/>
    <m/>
    <x v="0"/>
  </r>
  <r>
    <n v="48"/>
    <s v="ЖК Стандарт"/>
    <d v="2020-08-27T00:00:00"/>
    <x v="3"/>
    <s v="ТОО &quot;Оңтүстік құрылыс Сервис&quot;"/>
    <s v="010340004024"/>
    <s v="ТОО &quot;ЖК Standard&quot;"/>
    <s v="190140038552"/>
    <n v="2099777543"/>
    <n v="10658"/>
    <m/>
    <m/>
    <m/>
    <x v="43"/>
    <n v="140"/>
    <n v="140"/>
    <n v="5"/>
    <d v="2020-06-17T00:00:00"/>
    <d v="2021-02-17T00:00:00"/>
    <d v="2021-04-17T00:00:00"/>
    <m/>
    <m/>
    <d v="2021-04-15T00:00:00"/>
    <n v="39779893"/>
    <s v="ДПГ-20-13-004/045"/>
    <m/>
    <m/>
    <n v="62"/>
    <m/>
    <m/>
    <m/>
    <m/>
    <x v="0"/>
  </r>
  <r>
    <n v="49"/>
    <s v="МЖК Land Mark "/>
    <d v="2020-02-14T00:00:00"/>
    <x v="0"/>
    <s v="ТОО &quot;BAZIS-A Corp.&quot; "/>
    <n v="960340000376"/>
    <s v="ТОО &quot;Dostyk Land&quot;"/>
    <s v="190240034484"/>
    <n v="2565255008"/>
    <n v="18164"/>
    <m/>
    <m/>
    <m/>
    <x v="44"/>
    <n v="128"/>
    <n v="128"/>
    <n v="9.1199999999999992"/>
    <d v="2019-12-04T00:00:00"/>
    <d v="2020-11-25T00:00:00"/>
    <d v="2021-02-25T00:00:00"/>
    <d v="2021-05-25T00:00:00"/>
    <m/>
    <d v="2021-04-15T00:00:00"/>
    <n v="41256420"/>
    <s v="доп.согл. №1 к _x000a_ДПГ-20-01-001/037"/>
    <m/>
    <m/>
    <n v="78"/>
    <m/>
    <m/>
    <m/>
    <m/>
    <x v="0"/>
  </r>
  <r>
    <n v="50"/>
    <s v="МЖК Парасат 2 очередь"/>
    <d v="2020-04-06T00:00:00"/>
    <x v="1"/>
    <s v="ТОО &quot;SHEBERBUILD&quot;"/>
    <s v="070240017648"/>
    <s v="ТОО &quot;SHEBERGOOD&quot;"/>
    <s v="070240017648"/>
    <n v="3041291058"/>
    <n v="15462.72"/>
    <m/>
    <m/>
    <m/>
    <x v="45"/>
    <n v="288"/>
    <n v="283"/>
    <n v="9"/>
    <d v="2020-02-05T00:00:00"/>
    <d v="2021-05-29T00:00:00"/>
    <d v="2021-08-29T00:00:00"/>
    <m/>
    <m/>
    <d v="2021-05-13T00:00:00"/>
    <n v="60823921"/>
    <s v="доп.согл. №1 к _x000a_ДПГ-19-02-013/030"/>
    <m/>
    <m/>
    <n v="70"/>
    <m/>
    <m/>
    <m/>
    <m/>
    <x v="0"/>
  </r>
  <r>
    <n v="51"/>
    <s v="МЖК SOHO"/>
    <d v="2019-01-16T00:00:00"/>
    <x v="0"/>
    <s v="ТОО &quot;BAZIS-A Corp.&quot;"/>
    <n v="960340000376"/>
    <s v="ТОО &quot;Sovico group&quot;"/>
    <s v="180240017561"/>
    <n v="1991352860"/>
    <n v="10697.91"/>
    <m/>
    <m/>
    <m/>
    <x v="46"/>
    <n v="78"/>
    <n v="78"/>
    <n v="7"/>
    <d v="2019-11-14T00:00:00"/>
    <d v="2021-01-31T00:00:00"/>
    <m/>
    <m/>
    <m/>
    <d v="2021-01-18T00:00:00"/>
    <n v="38237857"/>
    <s v="ДПГ-20-01-001/32"/>
    <m/>
    <m/>
    <n v="78"/>
    <m/>
    <m/>
    <m/>
    <m/>
    <x v="0"/>
  </r>
  <r>
    <n v="52"/>
    <s v="МЖК Nova City на Туране"/>
    <d v="2020-01-30T00:00:00"/>
    <x v="0"/>
    <s v="ТОО &quot;Милан-Астана&quot;"/>
    <s v="110540015593"/>
    <s v="ТОО &quot;СК БАЗАР&quot;"/>
    <s v="190940030982"/>
    <n v="5762175734"/>
    <n v="27870"/>
    <m/>
    <m/>
    <m/>
    <x v="47"/>
    <n v="348"/>
    <n v="348"/>
    <n v="9"/>
    <d v="2019-10-31T00:00:00"/>
    <d v="2021-09-30T00:00:00"/>
    <m/>
    <m/>
    <m/>
    <d v="2021-06-05T00:00:00"/>
    <n v="110205578"/>
    <s v="ДПГ-20-01-008/034"/>
    <m/>
    <m/>
    <n v="91"/>
    <m/>
    <m/>
    <m/>
    <m/>
    <x v="0"/>
  </r>
  <r>
    <m/>
    <s v="Увеличение стоимости _x000a_МЖК Nova City на Туране, 1 очередь. Наружные инженерные сети."/>
    <d v="2020-06-25T00:00:00"/>
    <x v="0"/>
    <s v="ТОО &quot;Милан-Астана&quot;"/>
    <s v="110540015593"/>
    <s v="ТОО &quot;СК БАЗАР&quot;"/>
    <s v="190940030982"/>
    <n v="737891954"/>
    <n v="0"/>
    <m/>
    <m/>
    <m/>
    <x v="48"/>
    <n v="0"/>
    <n v="0"/>
    <s v="-"/>
    <d v="2020-06-01T00:00:00"/>
    <d v="2021-09-30T00:00:00"/>
    <m/>
    <m/>
    <m/>
    <d v="2021-06-05T00:00:00"/>
    <n v="14757839"/>
    <s v="доп.согл. №1 к _x000a_ДПГ-20-01-008/034"/>
    <m/>
    <m/>
    <n v="91"/>
    <m/>
    <m/>
    <m/>
    <m/>
    <x v="0"/>
  </r>
  <r>
    <n v="53"/>
    <s v="МЖК Теремки, Блоки 16-27"/>
    <d v="2020-06-16T00:00:00"/>
    <x v="1"/>
    <s v="ТОО &quot;Елимай-Invest&quot;"/>
    <s v="160640016168"/>
    <s v="ТОО &quot;ЖК &quot;Теремки&quot;"/>
    <s v="200540007036"/>
    <n v="7001848587"/>
    <n v="55789.440000000002"/>
    <m/>
    <m/>
    <m/>
    <x v="49"/>
    <n v="864"/>
    <n v="960"/>
    <n v="9"/>
    <d v="2020-05-26T00:00:00"/>
    <d v="2021-06-10T00:00:00"/>
    <d v="2021-09-21T00:00:00"/>
    <m/>
    <m/>
    <d v="2021-09-10T00:00:00"/>
    <n v="140036972"/>
    <s v="ДПГ-20-02-020/042"/>
    <m/>
    <m/>
    <n v="95"/>
    <m/>
    <m/>
    <m/>
    <m/>
    <x v="0"/>
  </r>
  <r>
    <n v="54"/>
    <s v="МЖК Nova City на Рыскулбекова "/>
    <d v="2020-01-30T00:00:00"/>
    <x v="0"/>
    <s v="ТОО &quot;Милан-Астана&quot;"/>
    <s v="110540015593"/>
    <s v="ТОО &quot;Salamat Stroy&quot;"/>
    <s v="180440012489"/>
    <n v="5840045029"/>
    <n v="31002.69"/>
    <m/>
    <m/>
    <m/>
    <x v="47"/>
    <n v="334"/>
    <n v="334"/>
    <s v="1,9,12"/>
    <d v="2020-01-09T00:00:00"/>
    <d v="2022-01-09T00:00:00"/>
    <m/>
    <m/>
    <m/>
    <d v="2021-08-13T00:00:00"/>
    <n v="115050538"/>
    <s v="ДПГ-20-01-008/033"/>
    <m/>
    <m/>
    <n v="91"/>
    <m/>
    <m/>
    <m/>
    <m/>
    <x v="0"/>
  </r>
  <r>
    <n v="55"/>
    <s v="МЖК Амстердам, пятна 8-10"/>
    <d v="2020-08-10T00:00:00"/>
    <x v="0"/>
    <s v="ТОО &quot;BAZIS-A Corp.&quot;"/>
    <n v="960340000376"/>
    <s v="ТОО &quot;Amsterdam City&quot; "/>
    <s v="180640022394"/>
    <n v="2015148840"/>
    <n v="12132.8"/>
    <m/>
    <m/>
    <m/>
    <x v="50"/>
    <n v="88"/>
    <n v="88"/>
    <n v="10"/>
    <d v="2020-05-04T00:00:00"/>
    <d v="2022-02-28T00:00:00"/>
    <m/>
    <m/>
    <m/>
    <d v="2021-06-30T00:00:00"/>
    <n v="34813216"/>
    <s v="доп.согл.№3 к _x000a_ДПГ-19-01-001/013"/>
    <m/>
    <m/>
    <n v="84"/>
    <m/>
    <m/>
    <m/>
    <m/>
    <x v="0"/>
  </r>
  <r>
    <n v="56"/>
    <s v="МЖК SOHO. Блок-секции 4,5,6"/>
    <d v="2020-10-07T00:00:00"/>
    <x v="0"/>
    <s v="ТОО &quot;BAZIS-A Corp.&quot;"/>
    <n v="960340000376"/>
    <s v="ТОО &quot;Sovico group&quot;"/>
    <s v="180240017561"/>
    <n v="3066214650"/>
    <n v="15109.69"/>
    <m/>
    <m/>
    <m/>
    <x v="51"/>
    <n v="119"/>
    <n v="119"/>
    <n v="9.1199999999999992"/>
    <d v="2020-06-16T00:00:00"/>
    <d v="2022-01-31T00:00:00"/>
    <m/>
    <m/>
    <m/>
    <d v="2021-09-13T00:00:00"/>
    <n v="52444166"/>
    <m/>
    <m/>
    <m/>
    <n v="84"/>
    <m/>
    <m/>
    <m/>
    <m/>
    <x v="0"/>
  </r>
  <r>
    <n v="57"/>
    <s v="МЖК Alma City, 3-оч. 3-й пуск.комплекс"/>
    <d v="2020-12-10T00:00:00"/>
    <x v="1"/>
    <s v="ТОО &quot;Qazaq Stroy&quot;"/>
    <s v="050540016141"/>
    <s v="ТОО &quot;ЫРЫСТЫ 46/2&quot;"/>
    <s v="190340022583"/>
    <n v="3080917422"/>
    <n v="59963.8"/>
    <m/>
    <m/>
    <m/>
    <x v="52"/>
    <n v="832"/>
    <n v="928"/>
    <n v="9"/>
    <d v="2020-10-14T00:00:00"/>
    <d v="2021-09-13T00:00:00"/>
    <d v="2021-12-13T00:00:00"/>
    <m/>
    <m/>
    <d v="2021-09-02T00:00:00"/>
    <n v="30809174"/>
    <s v="доп.согл.№3 к _x000a_ДПГ-19-02-005/024"/>
    <m/>
    <m/>
    <n v="71"/>
    <m/>
    <m/>
    <m/>
    <m/>
    <x v="0"/>
  </r>
  <r>
    <n v="58"/>
    <s v="МЖК Nova City на Туране, 2 очередь"/>
    <d v="2020-08-17T00:00:00"/>
    <x v="0"/>
    <s v="ТОО &quot;Милан-Астана&quot;"/>
    <s v="110540015593"/>
    <s v="ТОО &quot;СК БАЗАР&quot;"/>
    <s v="190940030982"/>
    <n v="4767699843"/>
    <n v="21896"/>
    <m/>
    <m/>
    <m/>
    <x v="53"/>
    <n v="239"/>
    <n v="239"/>
    <n v="9"/>
    <d v="2020-06-19T00:00:00"/>
    <d v="2021-11-30T00:00:00"/>
    <m/>
    <m/>
    <m/>
    <d v="2021-10-08T00:00:00"/>
    <n v="93279152"/>
    <s v="доп.согл.№2 к _x000a_ДПГ-20-02-008/034"/>
    <m/>
    <m/>
    <n v="81"/>
    <m/>
    <m/>
    <m/>
    <m/>
    <x v="0"/>
  </r>
  <r>
    <n v="59"/>
    <s v="МЖК Асыл Мура, Блок А"/>
    <d v="2020-01-30T00:00:00"/>
    <x v="0"/>
    <s v="ТОО &quot;Милан-Астана&quot;"/>
    <s v="110540015593"/>
    <s v="ТОО &quot;Цесинстрой&quot;"/>
    <s v="110340014607"/>
    <n v="9154023704"/>
    <n v="35661.699999999997"/>
    <m/>
    <m/>
    <m/>
    <x v="47"/>
    <n v="357"/>
    <n v="358"/>
    <n v="16"/>
    <d v="2020-01-13T00:00:00"/>
    <d v="2021-10-08T00:00:00"/>
    <d v="2022-01-08T00:00:00"/>
    <m/>
    <m/>
    <d v="2021-12-23T00:00:00"/>
    <n v="180082849"/>
    <s v="ДПГ-20-01-008/031"/>
    <m/>
    <m/>
    <n v="91"/>
    <m/>
    <m/>
    <m/>
    <m/>
    <x v="0"/>
  </r>
  <r>
    <m/>
    <s v="Увеличение стоимости _x000a_МЖК Асыл Мура, блок А. Наружные инженерные сети"/>
    <d v="2021-05-18T00:00:00"/>
    <x v="0"/>
    <s v="ТОО &quot;Милан-Астана&quot;"/>
    <s v="110540015593"/>
    <s v="ТОО &quot;Цесинстрой&quot;"/>
    <s v="110340014607"/>
    <n v="505795088"/>
    <n v="0"/>
    <m/>
    <m/>
    <m/>
    <x v="54"/>
    <n v="0"/>
    <n v="0"/>
    <n v="0"/>
    <d v="2020-12-07T00:00:00"/>
    <d v="2021-12-23T00:00:00"/>
    <m/>
    <m/>
    <m/>
    <d v="2021-12-23T00:00:00"/>
    <n v="5057951"/>
    <m/>
    <m/>
    <s v="Нуржубалин Н. "/>
    <n v="91"/>
    <m/>
    <m/>
    <m/>
    <m/>
    <x v="0"/>
  </r>
  <r>
    <n v="60"/>
    <s v="МЖК Олимпийский, 1 очередь"/>
    <d v="2020-02-14T00:00:00"/>
    <x v="0"/>
    <s v="ТОО &quot;Орда строй групп&quot;"/>
    <s v="060240014641"/>
    <s v="ТОО &quot;Orda Invest Development&quot;"/>
    <s v="190840001896"/>
    <n v="5767382086"/>
    <n v="27950.19"/>
    <m/>
    <m/>
    <m/>
    <x v="55"/>
    <n v="173"/>
    <n v="172"/>
    <n v="10.18"/>
    <d v="2019-12-18T00:00:00"/>
    <d v="2021-10-18T00:00:00"/>
    <d v="2022-01-18T00:00:00"/>
    <m/>
    <m/>
    <d v="2021-12-29T00:00:00"/>
    <n v="105944617"/>
    <s v="ДПГ-20-01-015/036"/>
    <m/>
    <m/>
    <n v="70"/>
    <m/>
    <m/>
    <m/>
    <m/>
    <x v="0"/>
  </r>
  <r>
    <n v="61"/>
    <s v="МЖК Терракота, 1 этап, Блоки 2, 2/1, 5, 8 и 10"/>
    <d v="2020-07-03T00:00:00"/>
    <x v="1"/>
    <s v="ТОО &quot;Елимай-Invest&quot;"/>
    <s v="160640016168"/>
    <s v="ТОО &quot;TEES&quot;"/>
    <s v="190340014136"/>
    <n v="6057003488"/>
    <n v="39655.800000000003"/>
    <m/>
    <m/>
    <m/>
    <x v="56"/>
    <n v="484"/>
    <n v="506"/>
    <s v="1, 18, 20"/>
    <d v="2020-06-16T00:00:00"/>
    <d v="2021-10-31T00:00:00"/>
    <d v="2022-01-31T00:00:00"/>
    <m/>
    <m/>
    <d v="2021-12-28T00:00:00"/>
    <n v="121140070"/>
    <s v="ДПГ-20-02-020/043"/>
    <m/>
    <m/>
    <n v="95"/>
    <m/>
    <m/>
    <m/>
    <m/>
    <x v="0"/>
  </r>
  <r>
    <n v="62"/>
    <s v="МЖК Терракота, 2 этап, Блоки 4 и 7"/>
    <d v="2020-08-17T00:00:00"/>
    <x v="1"/>
    <s v="ТОО &quot;Елимай-Invest&quot;"/>
    <s v="160640016168"/>
    <s v="ТОО &quot;TEES&quot;"/>
    <s v="190340014136"/>
    <n v="2350110287"/>
    <n v="16432.3"/>
    <m/>
    <m/>
    <m/>
    <x v="57"/>
    <n v="208"/>
    <n v="216"/>
    <s v="18, 20"/>
    <d v="2020-06-16T00:00:00"/>
    <d v="2022-01-31T00:00:00"/>
    <m/>
    <m/>
    <m/>
    <d v="2021-12-28T00:00:00"/>
    <n v="47002206"/>
    <s v="доп.согл.№1 к _x000a_ДПГ-20-02-020/043"/>
    <m/>
    <m/>
    <n v="95"/>
    <m/>
    <m/>
    <m/>
    <m/>
    <x v="0"/>
  </r>
  <r>
    <n v="63"/>
    <s v="МЖК Sezim Qala 6 оч.&quot;"/>
    <d v="2020-02-14T00:00:00"/>
    <x v="0"/>
    <s v="ТОО &quot;Милан-Астана&quot;"/>
    <s v="110540015593"/>
    <s v="ТОО &quot;Туран Сити&quot;"/>
    <s v="170340033307"/>
    <n v="4490419686"/>
    <n v="19814.66"/>
    <m/>
    <m/>
    <m/>
    <x v="40"/>
    <n v="278"/>
    <n v="278"/>
    <s v="2,9,12"/>
    <d v="2019-11-15T00:00:00"/>
    <d v="2021-04-16T00:00:00"/>
    <d v="2021-07-16T00:00:00"/>
    <d v="2021-11-10T00:00:00"/>
    <d v="2022-02-10T00:00:00"/>
    <d v="2021-12-27T00:00:00"/>
    <n v="89098085"/>
    <s v="доп.согл.№4 к _x000a_ДПГ-19-01-008/015"/>
    <m/>
    <m/>
    <n v="91"/>
    <m/>
    <m/>
    <m/>
    <m/>
    <x v="0"/>
  </r>
  <r>
    <n v="64"/>
    <s v="МЖК Sezim Qala  8 очередь"/>
    <d v="2020-04-06T00:00:00"/>
    <x v="0"/>
    <s v="ТОО &quot;Милан-Астана&quot;"/>
    <s v="110540015593"/>
    <s v="ТОО &quot;Туран Сити&quot;"/>
    <s v="170340033307"/>
    <n v="5708411131"/>
    <n v="31505.3"/>
    <m/>
    <m/>
    <m/>
    <x v="51"/>
    <n v="416"/>
    <n v="416"/>
    <s v="1,2,22"/>
    <d v="2020-03-02T00:00:00"/>
    <d v="2022-03-02T00:00:00"/>
    <m/>
    <m/>
    <m/>
    <d v="2021-12-29T00:00:00"/>
    <n v="112958261"/>
    <m/>
    <m/>
    <m/>
    <n v="91"/>
    <m/>
    <m/>
    <m/>
    <m/>
    <x v="0"/>
  </r>
  <r>
    <n v="65"/>
    <s v="МЖК Амстердам, 2 очередь, пятна 11-14"/>
    <d v="2020-12-22T00:00:00"/>
    <x v="0"/>
    <s v="ТОО &quot;BAZIS-A Corp.&quot;"/>
    <n v="960340000376"/>
    <s v="ТОО &quot;Amsterdam city&quot;"/>
    <s v="180640022394"/>
    <n v="2608583568"/>
    <n v="16101.6"/>
    <m/>
    <m/>
    <m/>
    <x v="58"/>
    <n v="116"/>
    <n v="116"/>
    <n v="10"/>
    <d v="2020-06-04T00:00:00"/>
    <d v="2022-05-31T00:00:00"/>
    <m/>
    <m/>
    <m/>
    <d v="2021-10-13T00:00:00"/>
    <n v="24583147"/>
    <s v="доп.согл.№4 к _x000a_ДПГ-19-01-001/013"/>
    <n v="311733873"/>
    <m/>
    <n v="84"/>
    <m/>
    <m/>
    <m/>
    <m/>
    <x v="0"/>
  </r>
  <r>
    <n v="66"/>
    <s v="МЖК Ак Дидар, пятна 14, 15"/>
    <d v="2020-12-22T00:00:00"/>
    <x v="0"/>
    <s v="ТОО &quot;BAZIS-A Corp.&quot;"/>
    <n v="960340000376"/>
    <s v="ТОО &quot;Ак Дидар-2&quot;"/>
    <s v="170840012253"/>
    <n v="1657025210"/>
    <n v="12551.1"/>
    <m/>
    <m/>
    <m/>
    <x v="59"/>
    <n v="171"/>
    <n v="171"/>
    <n v="9.1199999999999992"/>
    <d v="2020-09-16T00:00:00"/>
    <d v="2022-10-31T00:00:00"/>
    <m/>
    <m/>
    <m/>
    <d v="2021-11-01T00:00:00"/>
    <n v="15578040"/>
    <s v="  доп.согл. №3к_x000a_ДПГ-19-01-001/022 "/>
    <n v="211128707"/>
    <m/>
    <n v="84"/>
    <m/>
    <m/>
    <m/>
    <m/>
    <x v="0"/>
  </r>
  <r>
    <n v="67"/>
    <s v="МЖК Гулдер 3 очередь"/>
    <d v="2020-10-05T00:00:00"/>
    <x v="1"/>
    <s v="ТОО &quot;Компания Индустрия Строительства&quot;"/>
    <s v="110640013302"/>
    <s v="ТОО &quot;Сармат Групп&quot;"/>
    <s v="170840035976"/>
    <n v="4323925897"/>
    <n v="17609.2"/>
    <m/>
    <m/>
    <m/>
    <x v="60"/>
    <n v="237"/>
    <n v="237"/>
    <n v="16"/>
    <d v="2020-09-16T00:00:00"/>
    <d v="2022-06-17T00:00:00"/>
    <m/>
    <m/>
    <m/>
    <d v="2022-06-10T00:00:00"/>
    <n v="85270009"/>
    <s v="ДПГ-20-01-022/048 "/>
    <m/>
    <m/>
    <n v="98"/>
    <m/>
    <m/>
    <m/>
    <m/>
    <x v="0"/>
  </r>
  <r>
    <n v="68"/>
    <s v="МЖК Athletic"/>
    <d v="2020-12-10T00:00:00"/>
    <x v="0"/>
    <s v="ТОО &quot;Comfort Development KZ&quot;"/>
    <s v="210940032945"/>
    <s v="ТОО &quot;Comfort Туран&quot;"/>
    <s v="190940031752"/>
    <n v="2855648417"/>
    <n v="13898.8"/>
    <m/>
    <m/>
    <m/>
    <x v="61"/>
    <n v="126"/>
    <n v="126"/>
    <n v="12"/>
    <d v="2020-09-22T00:00:00"/>
    <d v="2022-03-22T00:00:00"/>
    <m/>
    <m/>
    <m/>
    <d v="2021-06-29T00:00:00"/>
    <s v="16 330 080 "/>
    <s v="ДПГ-20-01-002/049"/>
    <m/>
    <s v="Нурбаев Н. "/>
    <n v="77"/>
    <m/>
    <m/>
    <m/>
    <m/>
    <x v="0"/>
  </r>
  <r>
    <n v="69"/>
    <s v="МЖК Аллея тысячелетия, блок 24"/>
    <d v="2021-02-05T00:00:00"/>
    <x v="0"/>
    <s v="ТОО &quot;BAZIS-A Corp.&quot;"/>
    <n v="960340000376"/>
    <s v="ТОО &quot;Аллея тысячелетия-4&quot;"/>
    <s v="180540027976"/>
    <n v="2435069335"/>
    <n v="16551"/>
    <m/>
    <m/>
    <m/>
    <x v="62"/>
    <n v="144"/>
    <n v="144"/>
    <n v="7"/>
    <d v="2020-05-13T00:00:00"/>
    <d v="2022-01-13T00:00:00"/>
    <m/>
    <m/>
    <m/>
    <d v="2021-10-22T00:00:00"/>
    <n v="21061933"/>
    <s v="ДПГ-21-01-001/053"/>
    <m/>
    <m/>
    <n v="84"/>
    <m/>
    <m/>
    <m/>
    <m/>
    <x v="0"/>
  </r>
  <r>
    <n v="70"/>
    <s v="МЖК Сити Плюс, 1-й пусковой комплекс, блоки 1-11"/>
    <d v="2021-07-14T00:00:00"/>
    <x v="1"/>
    <s v="ТОО &quot;Елимай-Invest&quot;"/>
    <s v="160640016168"/>
    <s v="ТОО &quot;Commercial Estate Company&quot;"/>
    <s v="200440009039"/>
    <n v="4706806971"/>
    <n v="55984.28"/>
    <m/>
    <m/>
    <m/>
    <x v="63"/>
    <n v="756"/>
    <n v="844"/>
    <n v="9"/>
    <d v="2021-06-08T00:00:00"/>
    <d v="2021-12-31T00:00:00"/>
    <m/>
    <m/>
    <m/>
    <d v="2021-12-28T00:00:00"/>
    <n v="47068070"/>
    <s v="ДПГ-21-02-020/075"/>
    <m/>
    <s v="Сарсембаева Ж. "/>
    <n v="68"/>
    <m/>
    <m/>
    <m/>
    <m/>
    <x v="0"/>
  </r>
  <r>
    <n v="71"/>
    <s v="МЖК Nova City на Рыскулбекова 2 очередь"/>
    <d v="2021-05-20T00:00:00"/>
    <x v="0"/>
    <s v="ТОО &quot;Милан-Астана&quot;"/>
    <s v="110540015593"/>
    <s v="ТОО &quot;Salamat stroy&quot;"/>
    <s v="180440012489"/>
    <n v="3935294461"/>
    <n v="19799.46"/>
    <m/>
    <m/>
    <m/>
    <x v="54"/>
    <n v="207"/>
    <n v="207"/>
    <s v="9, 12"/>
    <d v="2021-02-15T00:00:00"/>
    <d v="2022-06-22T00:00:00"/>
    <m/>
    <m/>
    <m/>
    <d v="2021-11-22T00:00:00"/>
    <n v="38776285"/>
    <m/>
    <m/>
    <m/>
    <n v="81"/>
    <m/>
    <m/>
    <m/>
    <m/>
    <x v="0"/>
  </r>
  <r>
    <n v="72"/>
    <s v="МЖК Сердце Столицы, 2 оч."/>
    <d v="2021-04-01T00:00:00"/>
    <x v="0"/>
    <s v="ТОО &quot;Милан-Астана&quot;"/>
    <s v="110540015593"/>
    <s v="ТОО &quot;Turan Towers&quot;"/>
    <s v="161040020830"/>
    <n v="6857592308"/>
    <n v="35711.699999999997"/>
    <m/>
    <m/>
    <m/>
    <x v="64"/>
    <n v="291"/>
    <n v="291"/>
    <s v="1, 7, 9, 12, 19"/>
    <d v="2021-04-07T00:00:00"/>
    <d v="2022-04-07T00:00:00"/>
    <m/>
    <m/>
    <m/>
    <d v="2021-12-23T00:00:00"/>
    <n v="67971878"/>
    <m/>
    <m/>
    <m/>
    <n v="81"/>
    <m/>
    <m/>
    <m/>
    <m/>
    <x v="0"/>
  </r>
  <r>
    <n v="73"/>
    <s v="МЖК SOHO, блок 3,4"/>
    <d v="2021-02-05T00:00:00"/>
    <x v="0"/>
    <s v="ТОО &quot;BAZIS-A Corp.&quot;"/>
    <n v="960340000376"/>
    <s v="ТОО &quot;Sovico group&quot;"/>
    <s v="180240017561"/>
    <n v="3481930375"/>
    <n v="17098.46"/>
    <m/>
    <m/>
    <m/>
    <x v="62"/>
    <n v="80"/>
    <n v="80"/>
    <n v="7.9"/>
    <s v="09.12.2020 г. – блок 3 (секции 7,8,9);_x000a_19.08.2020 г. – блок 4 (паркинг)"/>
    <d v="2022-01-31T00:00:00"/>
    <m/>
    <m/>
    <m/>
    <d v="2021-11-06T00:00:00"/>
    <n v="30330124"/>
    <m/>
    <m/>
    <m/>
    <n v="84"/>
    <m/>
    <m/>
    <m/>
    <m/>
    <x v="0"/>
  </r>
  <r>
    <n v="74"/>
    <s v="МЖК Шахристан"/>
    <d v="2021-02-03T00:00:00"/>
    <x v="0"/>
    <s v="ТОО &quot;Жетісу ЖҚ&quot;"/>
    <s v="031240005283"/>
    <s v="ТОО &quot;УК Шахристан&quot;"/>
    <s v="200140012157"/>
    <n v="3336486162"/>
    <n v="16227.57"/>
    <m/>
    <m/>
    <m/>
    <x v="65"/>
    <n v="160"/>
    <n v="182"/>
    <s v="7, 9"/>
    <d v="2020-11-23T00:00:00"/>
    <d v="2022-02-23T00:00:00"/>
    <m/>
    <m/>
    <m/>
    <d v="2021-12-08T00:00:00"/>
    <n v="28025328"/>
    <m/>
    <m/>
    <m/>
    <n v="63"/>
    <m/>
    <m/>
    <m/>
    <m/>
    <x v="0"/>
  </r>
  <r>
    <n v="75"/>
    <s v="МЖК Argento п 1,2"/>
    <d v="2021-07-01T00:00:00"/>
    <x v="0"/>
    <s v="ТОО &quot;BAZIS-A Corp.&quot;"/>
    <n v="960340000376"/>
    <s v="ТОО &quot;Строй Билдинг Астана&quot;"/>
    <s v="170840009898"/>
    <n v="2206013208"/>
    <n v="15957"/>
    <m/>
    <m/>
    <m/>
    <x v="66"/>
    <n v="170"/>
    <n v="170"/>
    <n v="18"/>
    <d v="2021-02-19T00:00:00"/>
    <d v="2022-02-19T00:00:00"/>
    <m/>
    <m/>
    <m/>
    <d v="2021-12-02T00:00:00"/>
    <n v="19793732"/>
    <m/>
    <m/>
    <m/>
    <n v="74"/>
    <m/>
    <m/>
    <m/>
    <m/>
    <x v="0"/>
  </r>
  <r>
    <n v="76"/>
    <s v="МЖК в г. Атырау"/>
    <d v="2021-06-28T00:00:00"/>
    <x v="5"/>
    <s v="ТОО &quot;Direct Construction Service&quot;"/>
    <s v="050440002386"/>
    <s v="ТОО &quot;Yerkin Management Group&quot;"/>
    <s v="170640031311"/>
    <n v="922782493"/>
    <n v="6326.2"/>
    <m/>
    <m/>
    <m/>
    <x v="67"/>
    <n v="72"/>
    <n v="72"/>
    <n v="9"/>
    <d v="2021-02-07T00:00:00"/>
    <d v="2022-03-22T00:00:00"/>
    <m/>
    <m/>
    <m/>
    <d v="2022-02-23T00:00:00"/>
    <n v="8506904"/>
    <s v="ДПГ-21-06-018/072"/>
    <m/>
    <m/>
    <n v="80"/>
    <m/>
    <m/>
    <m/>
    <m/>
    <x v="0"/>
  </r>
  <r>
    <n v="77"/>
    <s v="МЖК Алма Тау, пятна 7,8"/>
    <d v="2021-04-27T00:00:00"/>
    <x v="4"/>
    <s v="ТОО &quot;Строительная Компания Элитстрой&quot;"/>
    <s v="060740002715"/>
    <s v="ТОО &quot;УК &quot;Алма Тау 2021&quot;"/>
    <s v="210240029444"/>
    <n v="2271535493"/>
    <n v="11439.2"/>
    <m/>
    <m/>
    <m/>
    <x v="68"/>
    <n v="234"/>
    <n v="234"/>
    <n v="9"/>
    <d v="2021-03-05T00:00:00"/>
    <d v="2022-05-05T00:00:00"/>
    <m/>
    <m/>
    <m/>
    <d v="2021-11-10T00:00:00"/>
    <n v="18977698"/>
    <m/>
    <m/>
    <m/>
    <n v="73"/>
    <m/>
    <m/>
    <m/>
    <m/>
    <x v="0"/>
  </r>
  <r>
    <n v="78"/>
    <s v="МЖК Esil Tower, 1 оч."/>
    <d v="2021-04-01T00:00:00"/>
    <x v="0"/>
    <s v="ТОО &quot;Ethna Group&quot;"/>
    <s v="940940000027"/>
    <s v="ТОО &quot;Riverside Tower&quot;"/>
    <s v="201040021501"/>
    <n v="2374319871"/>
    <n v="15603.49"/>
    <m/>
    <m/>
    <m/>
    <x v="64"/>
    <n v="131"/>
    <n v="159"/>
    <n v="24"/>
    <d v="2021-02-08T00:00:00"/>
    <d v="2022-05-07T00:00:00"/>
    <m/>
    <m/>
    <m/>
    <d v="2022-02-14T00:00:00"/>
    <n v="20073340"/>
    <m/>
    <m/>
    <m/>
    <n v="77"/>
    <m/>
    <m/>
    <m/>
    <m/>
    <x v="0"/>
  </r>
  <r>
    <n v="79"/>
    <s v="МЖК HEAVEN"/>
    <d v="2021-04-13T00:00:00"/>
    <x v="1"/>
    <s v="ТОО &quot;Елимай-Invest&quot;"/>
    <s v="160640016168"/>
    <s v="ТОО &quot;КапСтрой Девелопмент&quot;"/>
    <s v="190140012211"/>
    <n v="1499679126"/>
    <n v="19657.2"/>
    <m/>
    <m/>
    <m/>
    <x v="64"/>
    <n v="303"/>
    <n v="322"/>
    <s v="12, 13, 16"/>
    <d v="2021-01-21T00:00:00"/>
    <d v="2022-05-21T00:00:00"/>
    <m/>
    <m/>
    <m/>
    <d v="2021-12-27T00:00:00"/>
    <n v="13332057"/>
    <s v="ДПГ-21-02-020/060"/>
    <m/>
    <s v="Сарсембаева Ж. "/>
    <n v="95"/>
    <m/>
    <m/>
    <m/>
    <m/>
    <x v="0"/>
  </r>
  <r>
    <n v="80"/>
    <s v="МЖК Асыл Мура, блок F"/>
    <d v="2021-03-05T00:00:00"/>
    <x v="0"/>
    <s v="ТОО &quot;Garant stroy&quot;"/>
    <s v="170140020417"/>
    <s v="ТОО &quot;УКиСС&quot;"/>
    <s v="060140001190"/>
    <n v="5890831329"/>
    <n v="29839.25"/>
    <m/>
    <m/>
    <m/>
    <x v="69"/>
    <n v="256"/>
    <n v="256"/>
    <n v="9"/>
    <d v="2021-02-12T00:00:00"/>
    <d v="2022-05-12T00:00:00"/>
    <m/>
    <m/>
    <m/>
    <d v="2022-05-05T00:00:00"/>
    <n v="57798194"/>
    <m/>
    <n v="1401206941"/>
    <m/>
    <n v="92"/>
    <m/>
    <m/>
    <m/>
    <m/>
    <x v="0"/>
  </r>
  <r>
    <n v="81"/>
    <s v="МЖК Gul Ana"/>
    <d v="2021-06-15T00:00:00"/>
    <x v="1"/>
    <s v="ТОО &quot;KazSMU&quot;"/>
    <n v="970540007997"/>
    <s v="ТОО &quot;Gul-Ana&quot;"/>
    <n v="111240020442"/>
    <n v="3185907288"/>
    <n v="14982.7"/>
    <m/>
    <m/>
    <m/>
    <x v="70"/>
    <n v="184"/>
    <n v="184"/>
    <n v="12"/>
    <d v="2021-03-31T00:00:00"/>
    <d v="2022-06-30T00:00:00"/>
    <m/>
    <m/>
    <m/>
    <d v="2022-04-21T00:00:00"/>
    <n v="26936820"/>
    <m/>
    <m/>
    <m/>
    <n v="68"/>
    <m/>
    <m/>
    <m/>
    <m/>
    <x v="0"/>
  </r>
  <r>
    <n v="82"/>
    <s v="МЖК Әулиет"/>
    <d v="2021-05-05T00:00:00"/>
    <x v="0"/>
    <s v="ТОО &quot;Ңұр Астана Құрылыс&quot;"/>
    <s v="060140000846"/>
    <s v="ТОО &quot;AULET CONSTRUCTION&quot;"/>
    <s v="191040008123"/>
    <n v="9247229121"/>
    <n v="37650.199999999997"/>
    <m/>
    <m/>
    <m/>
    <x v="71"/>
    <n v="328"/>
    <n v="360"/>
    <s v="9, 12"/>
    <d v="2021-01-26T00:00:00"/>
    <d v="2022-05-26T00:00:00"/>
    <m/>
    <m/>
    <m/>
    <d v="2022-05-13T00:00:00"/>
    <n v="78601448"/>
    <m/>
    <m/>
    <m/>
    <n v="70"/>
    <m/>
    <m/>
    <m/>
    <m/>
    <x v="0"/>
  </r>
  <r>
    <n v="83"/>
    <s v="МЖК Landmark"/>
    <d v="2021-01-21T00:00:00"/>
    <x v="0"/>
    <s v="ТОО &quot;BAZIS-A Corp.&quot; "/>
    <n v="960340000376"/>
    <s v="ТОО &quot;Dostyk Land&quot;"/>
    <s v="190240034484"/>
    <n v="2762404808"/>
    <n v="17400.61"/>
    <m/>
    <m/>
    <m/>
    <x v="72"/>
    <n v="136"/>
    <n v="136"/>
    <n v="18"/>
    <d v="2020-12-22T00:00:00"/>
    <d v="2022-08-22T00:00:00"/>
    <m/>
    <m/>
    <m/>
    <d v="2022-08-19T00:00:00"/>
    <n v="25201828"/>
    <m/>
    <n v="1080839705"/>
    <m/>
    <n v="84"/>
    <m/>
    <m/>
    <m/>
    <m/>
    <x v="0"/>
  </r>
  <r>
    <n v="84"/>
    <s v="МЖК АТМОСФЕРА"/>
    <d v="2021-09-23T00:00:00"/>
    <x v="0"/>
    <s v="ТОО &quot;Tau House Development&quot;"/>
    <s v="110540008868"/>
    <s v="ТОО &quot;BERKAT-BUILDING&quot;"/>
    <s v="190440023486"/>
    <n v="8276765515"/>
    <n v="29337.95"/>
    <m/>
    <m/>
    <m/>
    <x v="73"/>
    <n v="322"/>
    <n v="332"/>
    <n v="9"/>
    <d v="2021-04-16T00:00:00"/>
    <d v="2022-07-16T00:00:00"/>
    <m/>
    <m/>
    <m/>
    <d v="2022-06-07T00:00:00"/>
    <n v="72595753"/>
    <m/>
    <m/>
    <m/>
    <n v="72"/>
    <m/>
    <m/>
    <m/>
    <m/>
    <x v="0"/>
  </r>
  <r>
    <n v="85"/>
    <s v="МЖК Гулдер 3 очередь, 1 пусковой"/>
    <d v="2021-04-01T00:00:00"/>
    <x v="1"/>
    <s v="ТОО &quot;Компания Индустрия Строительства&quot;"/>
    <s v="110640013302"/>
    <s v="ТОО &quot;Сармат Групп&quot;"/>
    <s v="170840035976"/>
    <n v="3001447327"/>
    <n v="14814.8"/>
    <m/>
    <m/>
    <m/>
    <x v="74"/>
    <n v="165"/>
    <n v="165"/>
    <n v="12"/>
    <d v="2020-12-22T00:00:00"/>
    <d v="2022-06-22T00:00:00"/>
    <m/>
    <m/>
    <m/>
    <d v="2022-06-10T00:00:00"/>
    <n v="29331899"/>
    <s v="ДПГ-20-01-022/048 от 30.11.2020_x000a_доп.согл.№1 от 26.05.2021  "/>
    <n v="862013053"/>
    <s v="Нуржубалин Н."/>
    <n v="98"/>
    <m/>
    <m/>
    <m/>
    <m/>
    <x v="0"/>
  </r>
  <r>
    <n v="86"/>
    <s v="МЖК Теремки, 1-й пусковой комплекс, блоки 2-15"/>
    <d v="2021-06-28T00:00:00"/>
    <x v="1"/>
    <s v="ТОО &quot;Елимай-Invest&quot;"/>
    <s v="160640016168"/>
    <s v="ТОО &quot;ЖК &quot;Теремки&quot;"/>
    <s v="200540007036"/>
    <n v="7142974193"/>
    <n v="73948.3"/>
    <m/>
    <m/>
    <m/>
    <x v="75"/>
    <n v="882"/>
    <n v="1058"/>
    <n v="9"/>
    <d v="2021-05-31T00:00:00"/>
    <d v="2022-06-30T00:00:00"/>
    <m/>
    <m/>
    <m/>
    <d v="2022-06-07T00:00:00"/>
    <n v="71429472"/>
    <s v=" ДПГ-20-02-020\042 от 17.06.2020_x000a_доп.согл. № 2 от 15.07.2021 к"/>
    <m/>
    <s v="Сарсембаева Ж. "/>
    <n v="68"/>
    <m/>
    <m/>
    <m/>
    <m/>
    <x v="0"/>
  </r>
  <r>
    <n v="87"/>
    <s v="МЖК Alma City 4-1, 1 этап"/>
    <d v="2021-09-16T00:00:00"/>
    <x v="1"/>
    <s v="ТОО &quot;Елимай-Invest&quot;"/>
    <s v="160640016168"/>
    <s v="ТОО &quot;Ңұр City Invest&quot;"/>
    <s v="160940030233"/>
    <n v="7304262241"/>
    <n v="80501.600000000006"/>
    <m/>
    <m/>
    <m/>
    <x v="76"/>
    <n v="980"/>
    <n v="980"/>
    <n v="5"/>
    <d v="2021-08-02T00:00:00"/>
    <d v="2022-07-02T00:00:00"/>
    <m/>
    <m/>
    <m/>
    <d v="2022-06-29T00:00:00"/>
    <n v="73042624"/>
    <s v="ДПГ-21-02-020/085"/>
    <m/>
    <s v="Сарсембаева Ж. "/>
    <n v="68"/>
    <m/>
    <m/>
    <m/>
    <m/>
    <x v="0"/>
  </r>
  <r>
    <n v="88"/>
    <s v="МЖК Alma City 4-1, 2 этап, Блоки 1-8, 36-39, 43-46"/>
    <d v="2021-11-09T00:00:00"/>
    <x v="1"/>
    <s v="ТОО &quot;Елимай-Invest&quot;"/>
    <s v="160640016168"/>
    <s v="ТОО &quot;Ңұр City Invest&quot;"/>
    <s v="160940030233"/>
    <n v="4899793782"/>
    <n v="60494"/>
    <m/>
    <m/>
    <m/>
    <x v="77"/>
    <n v="730"/>
    <n v="730"/>
    <n v="5"/>
    <d v="2021-08-02T00:00:00"/>
    <d v="2022-07-02T00:00:00"/>
    <m/>
    <m/>
    <m/>
    <d v="2022-06-29T00:00:00"/>
    <n v="48997938"/>
    <s v="ДПГ-21-02-020/085 от 30.09.2021_x000a_доп.согл. №1 от 25.11.2021 к "/>
    <m/>
    <s v="Сарсембаева Ж. "/>
    <n v="68"/>
    <m/>
    <m/>
    <m/>
    <m/>
    <x v="0"/>
  </r>
  <r>
    <n v="89"/>
    <s v="МЖК Стандарт, 2 очередь"/>
    <d v="2021-07-27T00:00:00"/>
    <x v="3"/>
    <s v="ТОО &quot;Оңтүстік құрылыс Сервис&quot;"/>
    <s v="010340004024"/>
    <s v="ТОО &quot;ЖК Standard&quot;"/>
    <s v="190140038552"/>
    <n v="6015465822"/>
    <n v="24557.72"/>
    <m/>
    <m/>
    <m/>
    <x v="78"/>
    <n v="288"/>
    <n v="288"/>
    <n v="9"/>
    <d v="2021-06-01T00:00:00"/>
    <d v="2022-09-01T00:00:00"/>
    <m/>
    <m/>
    <m/>
    <d v="2022-07-12T00:00:00"/>
    <n v="60154658"/>
    <s v="ДПГ-21-13-004/078"/>
    <m/>
    <s v="Нурбаев Н."/>
    <n v="88"/>
    <m/>
    <m/>
    <m/>
    <m/>
    <x v="0"/>
  </r>
  <r>
    <n v="90"/>
    <s v="МЖК Терракота, 3 этап, блоки 3, 6, 9, 11 и 12"/>
    <d v="2021-02-11T00:00:00"/>
    <x v="1"/>
    <s v="ТОО &quot;Елимай-Invest&quot;"/>
    <s v="160640016168"/>
    <s v="ТОО &quot;TEES&quot;"/>
    <s v="190340014136"/>
    <n v="4039352205"/>
    <n v="47954.7"/>
    <m/>
    <m/>
    <m/>
    <x v="79"/>
    <n v="353"/>
    <n v="374"/>
    <s v="1, 18, 20"/>
    <d v="2020-10-15T00:00:00"/>
    <d v="2022-07-15T00:00:00"/>
    <m/>
    <m/>
    <m/>
    <d v="2022-07-08T00:00:00"/>
    <n v="40393522"/>
    <s v="ДПГ-20-02-020/043_x000a_доп.согл. № 2 от 02.03.2021г."/>
    <m/>
    <s v="Сарсембаева Ж."/>
    <n v="95"/>
    <m/>
    <m/>
    <m/>
    <m/>
    <x v="0"/>
  </r>
  <r>
    <n v="91"/>
    <s v="МЖК Ақан Сері"/>
    <d v="2021-04-20T00:00:00"/>
    <x v="0"/>
    <s v="ТОО &quot;MabexTrade Ltd&quot;"/>
    <s v="040640007005"/>
    <s v="ТОО &quot;MAB Qurylys KZ&quot;"/>
    <s v="210140033558"/>
    <n v="3601621272"/>
    <n v="17438.599999999999"/>
    <m/>
    <m/>
    <m/>
    <x v="80"/>
    <n v="165"/>
    <n v="165"/>
    <n v="7"/>
    <d v="2021-02-19T00:00:00"/>
    <d v="2022-08-19T00:00:00"/>
    <m/>
    <m/>
    <m/>
    <d v="2022-05-25T00:00:00"/>
    <n v="35250302"/>
    <s v="ДПГ-21-01-027/061"/>
    <m/>
    <s v="Далматова Д. "/>
    <n v="80"/>
    <m/>
    <m/>
    <m/>
    <m/>
    <x v="0"/>
  </r>
  <r>
    <n v="92"/>
    <s v="МЖК Millenium Park, пятно 3, блок 23"/>
    <d v="2021-05-25T00:00:00"/>
    <x v="0"/>
    <s v="ТОО &quot;BAZIS-A Corp.&quot;"/>
    <n v="960340000376"/>
    <s v="ТОО &quot;Аллея Тысячелетия-4&quot;"/>
    <s v="180540027976"/>
    <n v="2037222803"/>
    <n v="16601"/>
    <m/>
    <m/>
    <m/>
    <x v="81"/>
    <n v="114"/>
    <n v="114"/>
    <n v="7"/>
    <d v="2021-03-16T00:00:00"/>
    <d v="2022-11-15T00:00:00"/>
    <m/>
    <m/>
    <m/>
    <d v="2022-06-13T00:00:00"/>
    <m/>
    <m/>
    <m/>
    <m/>
    <n v="84"/>
    <m/>
    <m/>
    <m/>
    <m/>
    <x v="0"/>
  </r>
  <r>
    <n v="93"/>
    <s v="МЖК Балауса"/>
    <d v="2021-08-26T00:00:00"/>
    <x v="0"/>
    <s v="ТОО &quot;Sensata Construction&quot;"/>
    <s v="041040007551"/>
    <s v="ТОО &quot;Sigma Byild&quot;"/>
    <s v="191040024998"/>
    <n v="7302547392"/>
    <n v="26569.7"/>
    <m/>
    <m/>
    <m/>
    <x v="82"/>
    <n v="285"/>
    <n v="285"/>
    <n v="9"/>
    <d v="2021-05-18T00:00:00"/>
    <d v="2022-08-20T00:00:00"/>
    <m/>
    <m/>
    <m/>
    <d v="2022-06-14T00:00:00"/>
    <n v="46197444"/>
    <s v="ДПГ-21-01-036/082"/>
    <m/>
    <s v="Сарсембаева Ж."/>
    <n v="93"/>
    <m/>
    <m/>
    <m/>
    <m/>
    <x v="0"/>
  </r>
  <r>
    <n v="94"/>
    <s v="МЖК NEXPO CITY"/>
    <d v="2021-03-15T00:00:00"/>
    <x v="0"/>
    <s v="ТОО &quot;Garant stroy&quot; "/>
    <s v="170140020417"/>
    <s v="ТОО &quot;NEXPO City&quot;"/>
    <s v="210140037639"/>
    <n v="9031081158"/>
    <n v="51904.6"/>
    <m/>
    <m/>
    <m/>
    <x v="69"/>
    <n v="400"/>
    <n v="447"/>
    <s v="9,10,15"/>
    <d v="2021-02-13T00:00:00"/>
    <d v="2023-04-13T00:00:00"/>
    <m/>
    <m/>
    <m/>
    <d v="2022-06-24T00:00:00"/>
    <n v="87400172"/>
    <s v="ДПГ-21-01-025/056"/>
    <n v="3732693043"/>
    <s v="Сарсембаева Ж."/>
    <n v="92"/>
    <m/>
    <m/>
    <m/>
    <m/>
    <x v="0"/>
  </r>
  <r>
    <n v="95"/>
    <s v="МЖК Монако пятно 3"/>
    <d v="2021-02-23T00:00:00"/>
    <x v="0"/>
    <s v="ТОО &quot;BAZIS-A Corp.&quot;"/>
    <n v="960340000376"/>
    <s v="ТОО &quot;Euro City-1&quot;"/>
    <s v="190440041434"/>
    <n v="3619711613"/>
    <n v="21468.49"/>
    <m/>
    <m/>
    <m/>
    <x v="83"/>
    <n v="141"/>
    <n v="141"/>
    <s v="8,12,14"/>
    <d v="2021-01-28T00:00:00"/>
    <d v="2022-10-28T00:00:00"/>
    <m/>
    <m/>
    <m/>
    <d v="2022-10-12T00:00:00"/>
    <s v="35 604 422"/>
    <s v="ДПГ-21-01-001/054"/>
    <n v="910647998"/>
    <s v="Нуржубалин Н."/>
    <n v="84"/>
    <m/>
    <m/>
    <m/>
    <m/>
    <x v="0"/>
  </r>
  <r>
    <n v="96"/>
    <s v="МЖК Нова Сити Южный Треугольник"/>
    <d v="2021-05-13T00:00:00"/>
    <x v="0"/>
    <s v="ТОО &quot;Garant stroy&quot;"/>
    <s v="170140020417"/>
    <s v="ТОО &quot;NC-MS&quot;"/>
    <s v="210240006722"/>
    <n v="10144630208"/>
    <n v="44759.28"/>
    <m/>
    <m/>
    <m/>
    <x v="84"/>
    <n v="509"/>
    <n v="509"/>
    <s v="9, 16"/>
    <s v="1 очередь – 07.12.2020г.;_x000a_2 очередь – 11.01.2021г.;_x000a_4 очередь -  07.12.2020г."/>
    <s v="1 очередь – 07.04.2022г._x000a_2 очередь – 21.04.2022г.;_x000a_ 4 очередь - 11.08.2022г."/>
    <m/>
    <m/>
    <m/>
    <s v="1 очередь – 01.04.2022г._x000a_2 очередь – 01.04.2022г.;_x000a_ 4 очередь - 22.07.2022г."/>
    <n v="92785465"/>
    <s v="ДПГ-21-01-02/067"/>
    <n v="902792318"/>
    <s v="Аяпова Г."/>
    <n v="92"/>
    <m/>
    <m/>
    <m/>
    <m/>
    <x v="0"/>
  </r>
  <r>
    <n v="97"/>
    <s v="МЖК Angleterre, 1-я очередь"/>
    <d v="2021-07-01T00:00:00"/>
    <x v="0"/>
    <s v="ТОО &quot;СИНТЭКО&quot; "/>
    <s v="040940003747"/>
    <s v="ТОО &quot;ЭКОПОТОК&quot;"/>
    <m/>
    <n v="3605450598"/>
    <n v="15375.4"/>
    <m/>
    <m/>
    <m/>
    <x v="85"/>
    <n v="119"/>
    <n v="119"/>
    <n v="9"/>
    <d v="2021-03-31T00:00:00"/>
    <n v="44801"/>
    <m/>
    <m/>
    <m/>
    <d v="2022-08-25T00:00:00"/>
    <n v="32377526"/>
    <s v="ДПГ-21-01-032/074"/>
    <m/>
    <s v="Жаныбек А."/>
    <n v="69"/>
    <m/>
    <m/>
    <m/>
    <m/>
    <x v="0"/>
  </r>
  <r>
    <n v="98"/>
    <s v="МЖК Онер"/>
    <d v="2021-01-14T00:00:00"/>
    <x v="1"/>
    <s v="ТОО &quot;Компания Индустрия Строительства&quot;"/>
    <s v="110640013302"/>
    <s v="ТОО &quot;Алматаустрой&quot;"/>
    <s v="161040016763"/>
    <n v="7334042282"/>
    <n v="21624.98"/>
    <m/>
    <m/>
    <m/>
    <x v="86"/>
    <n v="198"/>
    <n v="198"/>
    <n v="12"/>
    <d v="2020-10-07T00:00:00"/>
    <d v="2022-08-07T00:00:00"/>
    <m/>
    <m/>
    <m/>
    <d v="2022-08-03T00:00:00"/>
    <n v="71193946"/>
    <s v="ДПГ-21-02-022/050"/>
    <n v="2641969715"/>
    <s v="Жаныбек А."/>
    <n v="98"/>
    <m/>
    <m/>
    <m/>
    <m/>
    <x v="0"/>
  </r>
  <r>
    <n v="99"/>
    <s v="МЖК Auezov City, пятна 1, 2"/>
    <d v="2021-04-22T00:00:00"/>
    <x v="1"/>
    <s v="ТОО &quot;BAZIS-A Corp.&quot;"/>
    <n v="960340000376"/>
    <s v="ТОО &quot;Familia House&quot;"/>
    <s v="200940032606"/>
    <n v="3965211099"/>
    <n v="18625.47"/>
    <m/>
    <m/>
    <m/>
    <x v="87"/>
    <n v="252"/>
    <n v="252"/>
    <n v="15"/>
    <d v="2021-02-11T00:00:00"/>
    <d v="2022-08-11T00:00:00"/>
    <m/>
    <m/>
    <m/>
    <d v="2022-08-05T00:00:00"/>
    <n v="38532731"/>
    <s v="ДПГ-21-02-001/062"/>
    <n v="1760719780"/>
    <s v="Жаныбек А."/>
    <n v="84"/>
    <m/>
    <m/>
    <m/>
    <m/>
    <x v="0"/>
  </r>
  <r>
    <n v="100"/>
    <s v="МЖК Аман, пятна 1, 2, 3"/>
    <d v="2021-08-19T00:00:00"/>
    <x v="0"/>
    <s v="ТОО &quot;BAZIS-A Corp.&quot; "/>
    <n v="960340000376"/>
    <s v="ТОО &quot;Орынбор 2017&quot;"/>
    <s v="160340010168"/>
    <n v="2587390887"/>
    <n v="17638.599999999999"/>
    <m/>
    <m/>
    <m/>
    <x v="88"/>
    <n v="305"/>
    <n v="305"/>
    <n v="16.190000000000001"/>
    <s v="16.03.2021г."/>
    <d v="2022-10-16T00:00:00"/>
    <m/>
    <m/>
    <m/>
    <d v="2022-07-21T00:00:00"/>
    <s v="22 626 319"/>
    <s v="ДПГ-21-01-001/083"/>
    <n v="548126503"/>
    <s v="Далматова Д. "/>
    <n v="74"/>
    <m/>
    <m/>
    <m/>
    <m/>
    <x v="0"/>
  </r>
  <r>
    <m/>
    <s v="Увеличение стоимости _x000a_МЖК Аман, пятна 1, 2, 3"/>
    <d v="2022-06-14T00:00:00"/>
    <x v="0"/>
    <s v="ТОО &quot;BAZIS-A Corp.&quot; "/>
    <n v="960340000376"/>
    <s v="ТОО &quot;Орынбор 2017&quot;"/>
    <s v="160340010168"/>
    <n v="1691059141"/>
    <n v="0"/>
    <m/>
    <m/>
    <m/>
    <x v="89"/>
    <n v="0"/>
    <n v="0"/>
    <s v="-"/>
    <d v="2021-03-16T00:00:00"/>
    <d v="2022-09-16T00:00:00"/>
    <m/>
    <m/>
    <m/>
    <d v="2022-07-21T00:00:00"/>
    <n v="16910591"/>
    <s v="ДПГ 21-01-001/083_x000a_доп.согл. № 4 от 28.06.2022г. "/>
    <m/>
    <s v="Далматова Д. "/>
    <n v="74"/>
    <m/>
    <m/>
    <m/>
    <m/>
    <x v="0"/>
  </r>
  <r>
    <n v="101"/>
    <s v="МЖК Лесная поляна, дом 40"/>
    <d v="2022-02-24T00:00:00"/>
    <x v="6"/>
    <s v="ТОО &quot;Марапат 2011&quot;"/>
    <s v="111140016064"/>
    <s v="ТОО &quot;LP Project&quot;"/>
    <s v="210640037707"/>
    <n v="1748059801"/>
    <n v="12721.2"/>
    <m/>
    <m/>
    <m/>
    <x v="90"/>
    <n v="190"/>
    <n v="190"/>
    <n v="5"/>
    <d v="2021-11-15T00:00:00"/>
    <d v="2022-05-15T00:00:00"/>
    <m/>
    <m/>
    <m/>
    <d v="2022-04-05T00:00:00"/>
    <n v="10854545"/>
    <s v="ДПГ-22-03-049/109"/>
    <m/>
    <s v="Нурбаев Н."/>
    <n v="67"/>
    <m/>
    <m/>
    <m/>
    <m/>
    <x v="0"/>
  </r>
  <r>
    <n v="102"/>
    <s v="МЖК Онер, 3 очередь "/>
    <d v="2021-12-23T00:00:00"/>
    <x v="0"/>
    <s v="ТОО &quot;Bikom Realty&quot;"/>
    <s v="060540006700"/>
    <s v="ТОО &quot;ONER Construction&quot;"/>
    <s v="200240008390"/>
    <n v="4238097956"/>
    <n v="15006.8"/>
    <m/>
    <m/>
    <m/>
    <x v="91"/>
    <n v="200"/>
    <n v="200"/>
    <n v="9"/>
    <d v="2021-07-08T00:00:00"/>
    <d v="2022-10-22T00:00:00"/>
    <m/>
    <m/>
    <m/>
    <d v="2022-08-12T00:00:00"/>
    <n v="41688998"/>
    <s v="ДПГ-22-01-045/101"/>
    <m/>
    <s v="Далматова Д. "/>
    <n v="70"/>
    <m/>
    <m/>
    <m/>
    <m/>
    <x v="0"/>
  </r>
  <r>
    <n v="103"/>
    <s v="МЖК Парасат 3 очередь, пятна 7-13, "/>
    <d v="2021-04-01T00:00:00"/>
    <x v="1"/>
    <s v="ТОО &quot;SHEBERBUILD&quot;"/>
    <s v="070240017648"/>
    <s v="ТОО &quot;SHEBERGOOD&quot;"/>
    <s v="070240017648"/>
    <n v="6168900838"/>
    <n v="28382.78"/>
    <m/>
    <m/>
    <m/>
    <x v="92"/>
    <n v="476"/>
    <n v="476"/>
    <n v="9"/>
    <d v="2021-01-22T00:00:00"/>
    <d v="2022-10-22T00:00:00"/>
    <m/>
    <m/>
    <m/>
    <d v="2022-08-26T00:00:00"/>
    <n v="61689008"/>
    <s v="доп.согл. № 4 к _x000a_ДПГ-19-02-013/030 27.11.2019г."/>
    <m/>
    <s v="Исмаков А."/>
    <n v="68"/>
    <m/>
    <m/>
    <m/>
    <m/>
    <x v="0"/>
  </r>
  <r>
    <n v="104"/>
    <s v="МЖК Alma City 5/2, Блоки 128-155"/>
    <d v="2021-12-31T00:00:00"/>
    <x v="1"/>
    <s v="ТОО &quot;Елимай-Invest&quot;"/>
    <s v="160640016168"/>
    <s v="ТОО &quot;Alma City 5/2&quot;"/>
    <s v="210240012152"/>
    <n v="12284519587"/>
    <n v="148546.6"/>
    <m/>
    <m/>
    <m/>
    <x v="93"/>
    <n v="2142"/>
    <n v="2140"/>
    <n v="9"/>
    <d v="2021-12-25T00:00:00"/>
    <d v="2023-02-25T00:00:00"/>
    <m/>
    <m/>
    <m/>
    <d v="2022-06-27T00:00:00"/>
    <n v="41897944"/>
    <s v="ДПГ-22-02-020/102"/>
    <m/>
    <m/>
    <n v="68"/>
    <m/>
    <m/>
    <m/>
    <m/>
    <x v="0"/>
  </r>
  <r>
    <n v="105"/>
    <s v="МЖК Теремки, 3-й пусковой комплекс"/>
    <d v="2022-01-20T00:00:00"/>
    <x v="1"/>
    <s v="ТОО &quot;Елимай-Invest&quot;"/>
    <s v="160640016168"/>
    <s v="ТОО &quot;ЖК &quot;Теремки&quot;"/>
    <s v="200540007036"/>
    <n v="2000270939"/>
    <n v="11172.5"/>
    <m/>
    <m/>
    <m/>
    <x v="94"/>
    <n v="144"/>
    <n v="130"/>
    <n v="9"/>
    <d v="2021-09-16T00:00:00"/>
    <d v="2023-03-16T00:00:00"/>
    <m/>
    <m/>
    <m/>
    <d v="2022-06-07T00:00:00"/>
    <n v="20002709"/>
    <s v="доп.согл. №3 к _x000a_ДПГ-20-02-020/042 17.06.2020"/>
    <m/>
    <m/>
    <n v="68"/>
    <m/>
    <m/>
    <m/>
    <m/>
    <x v="0"/>
  </r>
  <r>
    <n v="106"/>
    <s v="МЖК View Park Family"/>
    <d v="2021-11-07T00:00:00"/>
    <x v="0"/>
    <s v="ТОО &quot;Stroy opt&quot;"/>
    <s v="131240018048"/>
    <s v="ТОО &quot;Global-Invest company&quot;"/>
    <s v="140140011928"/>
    <n v="6873006319"/>
    <n v="29299.19"/>
    <m/>
    <m/>
    <m/>
    <x v="95"/>
    <n v="300"/>
    <n v="297"/>
    <s v="1, 3, 20"/>
    <d v="2021-10-22T00:00:00"/>
    <d v="2023-01-31T00:00:00"/>
    <m/>
    <m/>
    <m/>
    <d v="2022-08-12T00:00:00"/>
    <n v="58289835"/>
    <s v="ДПГ-21-01-044/100"/>
    <m/>
    <s v="Жакыпбеков А."/>
    <n v="89"/>
    <m/>
    <m/>
    <m/>
    <m/>
    <x v="0"/>
  </r>
  <r>
    <n v="107"/>
    <s v="МЖК Шахар Сити 1 очередь "/>
    <d v="2021-06-28T00:00:00"/>
    <x v="1"/>
    <s v="ТОО &quot;Exclusive Construction (Эксклюзив Констракшн)&quot;"/>
    <s v="051040013647"/>
    <s v="ТОО &quot;Exclusive Северное Кольцо&quot; "/>
    <s v="200740008567"/>
    <n v="2785752420"/>
    <n v="12354.79"/>
    <m/>
    <m/>
    <m/>
    <x v="96"/>
    <n v="143"/>
    <n v="143"/>
    <n v="9"/>
    <d v="2021-06-01T00:00:00"/>
    <d v="2022-03-15T00:00:00"/>
    <d v="2022-06-15T00:00:00"/>
    <d v="2022-09-15T00:00:00"/>
    <d v="2022-12-15T00:00:00"/>
    <d v="2022-07-25T00:00:00"/>
    <n v="27705024"/>
    <s v="ДПГ-21-02-011/071"/>
    <m/>
    <s v="Жакыпбеков А."/>
    <n v="87"/>
    <m/>
    <m/>
    <m/>
    <m/>
    <x v="0"/>
  </r>
  <r>
    <n v="108"/>
    <s v="МЖК Сулукол"/>
    <d v="2021-07-14T00:00:00"/>
    <x v="0"/>
    <s v="ТОО &quot;Объединение-Сайран&quot;"/>
    <s v="021240005995"/>
    <s v="ТОО &quot;Sayran Социал&quot;"/>
    <s v="200840018141"/>
    <n v="3516075103"/>
    <n v="14302.4"/>
    <m/>
    <m/>
    <m/>
    <x v="97"/>
    <n v="208"/>
    <n v="210"/>
    <n v="7"/>
    <d v="2020-12-10T00:00:00"/>
    <d v="2022-05-10T00:00:00"/>
    <d v="2022-08-10T00:00:00"/>
    <d v="2022-11-10T00:00:00"/>
    <m/>
    <d v="2022-11-08T00:00:00"/>
    <n v="30669709"/>
    <s v="ДПГ-21-01-033/076"/>
    <m/>
    <m/>
    <n v="66"/>
    <m/>
    <m/>
    <m/>
    <m/>
    <x v="0"/>
  </r>
  <r>
    <n v="109"/>
    <s v="МЖК SOHO, Квартал 1В, 2 очередь, Блоки 5,6,7"/>
    <d v="2021-10-12T00:00:00"/>
    <x v="0"/>
    <s v="ТОО &quot;BAZIS-A Corp.&quot; "/>
    <n v="960340000376"/>
    <s v="ТОО &quot;Royal Town-1&quot;"/>
    <s v="190540004631"/>
    <n v="2289816924"/>
    <n v="14271"/>
    <m/>
    <m/>
    <m/>
    <x v="98"/>
    <n v="119"/>
    <n v="119"/>
    <s v="7,9,12"/>
    <d v="2021-04-01T00:00:00"/>
    <d v="2022-08-02T00:00:00"/>
    <d v="2022-11-02T00:00:00"/>
    <m/>
    <m/>
    <d v="2022-10-18T00:00:00"/>
    <n v="48449335"/>
    <s v="ДПГ-21-01-001/090"/>
    <n v="3279180677"/>
    <s v="Аяпова Г."/>
    <n v="74"/>
    <m/>
    <m/>
    <m/>
    <m/>
    <x v="0"/>
  </r>
  <r>
    <m/>
    <s v="Увеличение стоимости _x000a_МЖК SOHO, Квартал 1В, Очереди 1 и 2, Блоки 1-7, 8.1."/>
    <d v="2021-10-12T00:00:00"/>
    <x v="0"/>
    <s v="ТОО &quot;BAZIS-A Corp.&quot; "/>
    <n v="960340000376"/>
    <s v="ТОО &quot;Royal Town-1&quot;"/>
    <s v="190540004631"/>
    <n v="3110833000"/>
    <n v="15260"/>
    <m/>
    <m/>
    <m/>
    <x v="98"/>
    <n v="112"/>
    <n v="112"/>
    <m/>
    <d v="2021-04-01T00:00:00"/>
    <d v="2022-11-01T00:00:00"/>
    <m/>
    <m/>
    <m/>
    <d v="2022-09-13T00:00:00"/>
    <m/>
    <m/>
    <m/>
    <m/>
    <n v="74"/>
    <m/>
    <m/>
    <m/>
    <m/>
    <x v="0"/>
  </r>
  <r>
    <n v="110"/>
    <s v="МЖК Бурабай"/>
    <d v="2021-08-10T00:00:00"/>
    <x v="0"/>
    <s v="ТОО &quot;АсТи-Строй&quot;"/>
    <s v="030740000258"/>
    <s v="ТОО &quot;Astana Real Estate Company&quot;"/>
    <s v="141140024942"/>
    <n v="6105003456"/>
    <n v="34924.6"/>
    <m/>
    <m/>
    <m/>
    <x v="99"/>
    <n v="381"/>
    <n v="381"/>
    <s v="12, 14, 16, 18"/>
    <d v="2021-07-12T00:00:00"/>
    <d v="2023-05-12T00:00:00"/>
    <m/>
    <m/>
    <m/>
    <d v="2022-11-08T00:00:00"/>
    <n v="52191380"/>
    <s v="ДПГ-21-01-010/080"/>
    <m/>
    <s v="Аяпова Г."/>
    <n v="80"/>
    <m/>
    <m/>
    <m/>
    <m/>
    <x v="0"/>
  </r>
  <r>
    <n v="111"/>
    <s v="МЖК Озен"/>
    <d v="2021-09-09T00:00:00"/>
    <x v="0"/>
    <s v="ТОО &quot;РинЭлд&quot;"/>
    <s v="071140003260"/>
    <s v="ТОО &quot;Санбол&quot;"/>
    <s v="190840014283"/>
    <n v="6273402523"/>
    <n v="30912.47"/>
    <m/>
    <m/>
    <m/>
    <x v="76"/>
    <n v="374"/>
    <n v="374"/>
    <n v="18"/>
    <d v="2021-06-29T00:00:00"/>
    <d v="2022-12-31T00:00:00"/>
    <m/>
    <m/>
    <m/>
    <d v="2022-10-17T00:00:00"/>
    <n v="61196296"/>
    <s v="ДПГ-21-01-038/087"/>
    <m/>
    <s v="Уринбасарова М."/>
    <n v="82"/>
    <m/>
    <m/>
    <m/>
    <m/>
    <x v="0"/>
  </r>
  <r>
    <n v="112"/>
    <s v="МЖК K7 Family"/>
    <d v="2020-07-03T00:00:00"/>
    <x v="5"/>
    <s v="ТОО &quot;Сартай Энерго Сервис&quot;"/>
    <s v="070240022179"/>
    <s v="ТОО &quot;K7 Construction&quot;"/>
    <s v="190140013795"/>
    <n v="4348889709"/>
    <n v="33739.339999999997"/>
    <m/>
    <m/>
    <m/>
    <x v="100"/>
    <n v="352"/>
    <n v="352"/>
    <n v="9"/>
    <d v="2019-05-04T00:00:00"/>
    <d v="2022-10-04T00:00:00"/>
    <d v="2023-01-04T00:00:00"/>
    <m/>
    <m/>
    <d v="2022-11-04T00:00:00"/>
    <n v="78759175"/>
    <s v=" ДПГ-20-06-021/044"/>
    <m/>
    <s v="Нурбаев Н."/>
    <n v="70"/>
    <m/>
    <m/>
    <m/>
    <m/>
    <x v="0"/>
  </r>
  <r>
    <n v="113"/>
    <s v="МЖК Asyl Mura, блок Е"/>
    <d v="2021-07-01T00:00:00"/>
    <x v="0"/>
    <s v="ТОО &quot;Милан-Астана&quot;"/>
    <s v="110540015593"/>
    <s v="ТОО &quot;Цесинстрой&quot;"/>
    <s v="110340014607"/>
    <n v="9387694698"/>
    <n v="35764.5"/>
    <m/>
    <m/>
    <m/>
    <x v="70"/>
    <n v="366"/>
    <n v="366"/>
    <s v="9,12,14"/>
    <d v="2021-05-15T00:00:00"/>
    <d v="2022-08-14T00:00:00"/>
    <d v="2022-11-14T00:00:00"/>
    <m/>
    <m/>
    <d v="2022-10-31T00:00:00"/>
    <n v="93100997"/>
    <s v="доп.согл. №4 к_x000a_ДПГ-20-01-008/031  05.02.2020"/>
    <n v="6719960698"/>
    <s v="Далматова Д. "/>
    <n v="73"/>
    <m/>
    <m/>
    <m/>
    <m/>
    <x v="0"/>
  </r>
  <r>
    <n v="114"/>
    <s v="МЖК Самал"/>
    <d v="2021-07-14T00:00:00"/>
    <x v="7"/>
    <s v="ТОО &quot;СК А-Строй монтаж&quot;"/>
    <s v="080140018654"/>
    <s v="ТОО &quot;SK STROY-21&quot;"/>
    <s v="210140038698"/>
    <n v="3779124848"/>
    <n v="24702.9"/>
    <m/>
    <m/>
    <m/>
    <x v="101"/>
    <n v="287"/>
    <n v="287"/>
    <n v="9"/>
    <d v="2021-01-23T00:00:00"/>
    <d v="2022-08-22T00:00:00"/>
    <d v="2022-11-22T00:00:00"/>
    <m/>
    <m/>
    <d v="2022-11-09T00:00:00"/>
    <n v="35914325"/>
    <s v="ДПГ-21-12-030/065"/>
    <m/>
    <s v="Нурбаев Н."/>
    <n v="72"/>
    <m/>
    <m/>
    <m/>
    <m/>
    <x v="0"/>
  </r>
  <r>
    <n v="115"/>
    <s v="МЖК Даулпаз"/>
    <d v="2021-01-12T00:00:00"/>
    <x v="0"/>
    <s v="ТОО &quot;Тұран Құрылыс НС&quot;"/>
    <s v="050640009251"/>
    <s v="ТОО &quot;AMETA GROUP&quot;"/>
    <s v="190140030001"/>
    <n v="2492600422"/>
    <n v="15760.1"/>
    <m/>
    <m/>
    <m/>
    <x v="102"/>
    <n v="167"/>
    <n v="160"/>
    <n v="9"/>
    <d v="2020-12-01T00:00:00"/>
    <d v="2022-05-31T00:00:00"/>
    <d v="2022-08-31T00:00:00"/>
    <s v="31.11.2022"/>
    <d v="2023-02-28T00:00:00"/>
    <d v="2022-11-18T00:00:00"/>
    <s v="22 385 794"/>
    <s v="ДПГ-21-01-023/051"/>
    <m/>
    <s v="Исмаков А."/>
    <n v="79"/>
    <m/>
    <m/>
    <m/>
    <m/>
    <x v="0"/>
  </r>
  <r>
    <n v="116"/>
    <s v="МЖК Discovery 2  оч.  пятно 3/2"/>
    <d v="2021-05-13T00:00:00"/>
    <x v="0"/>
    <s v="ТОО &quot;BAZIS-A Corp.&quot;"/>
    <n v="960340000376"/>
    <s v="ТОО &quot;Astana Real Estate 2017&quot;"/>
    <s v="170640002219"/>
    <n v="2467040747"/>
    <n v="20246.28"/>
    <m/>
    <m/>
    <m/>
    <x v="68"/>
    <n v="166"/>
    <n v="166"/>
    <n v="9"/>
    <d v="2021-02-12T00:00:00"/>
    <d v="2023-01-12T00:00:00"/>
    <m/>
    <m/>
    <m/>
    <d v="2022-09-29T00:00:00"/>
    <n v="22639727"/>
    <s v="доп.согл. № 2 к _x000a_ДПГ-19-01-001/029 03.12.2019"/>
    <n v="1136038422"/>
    <s v="Жакыпбеков А."/>
    <n v="84"/>
    <m/>
    <m/>
    <m/>
    <m/>
    <x v="0"/>
  </r>
  <r>
    <n v="117"/>
    <s v="МЖК Sezim Qala очередь 10"/>
    <d v="2021-08-26T00:00:00"/>
    <x v="0"/>
    <s v="ТОО &quot;Милан-Астана&quot;"/>
    <s v="110540015593"/>
    <s v="ТОО &quot;Камал Центр Астана&quot;"/>
    <s v="170540018975"/>
    <n v="4503146562"/>
    <n v="23857.96"/>
    <m/>
    <m/>
    <m/>
    <x v="103"/>
    <n v="287"/>
    <n v="287"/>
    <n v="9.1199999999999992"/>
    <d v="2021-05-21T00:00:00"/>
    <d v="2022-09-21T00:00:00"/>
    <d v="2022-12-21T00:00:00"/>
    <m/>
    <m/>
    <d v="2022-11-16T00:00:00"/>
    <n v="44263909"/>
    <s v="ДПГ--21-01-008/084"/>
    <n v="3600544117"/>
    <s v="Нурбаев Н."/>
    <n v="73"/>
    <m/>
    <m/>
    <m/>
    <m/>
    <x v="0"/>
  </r>
  <r>
    <m/>
    <s v="Увеличение стоимости _x000a_МЖК Sezim Qala 10 очередь_x000a_Наружные инженерные сети. "/>
    <d v="2022-01-20T00:00:00"/>
    <x v="0"/>
    <s v="ТОО &quot;Nova City Development&quot;"/>
    <s v="110540015593"/>
    <s v="ТОО &quot;Камал Центр Астана&quot;"/>
    <s v="170540018975"/>
    <n v="173419099"/>
    <n v="0"/>
    <m/>
    <m/>
    <m/>
    <x v="104"/>
    <n v="0"/>
    <n v="0"/>
    <m/>
    <d v="2021-11-16T00:00:00"/>
    <d v="2022-09-21T00:00:00"/>
    <d v="2022-12-21T00:00:00"/>
    <m/>
    <m/>
    <d v="2022-11-16T00:00:00"/>
    <n v="1734191"/>
    <s v="доп.согл. № 2 к _x000a_ДПГ-21-01-008/084 14.09.2021"/>
    <m/>
    <m/>
    <n v="73"/>
    <m/>
    <m/>
    <m/>
    <m/>
    <x v="0"/>
  </r>
  <r>
    <n v="118"/>
    <s v="МЖК Гулдер 4 очередь, 1 пусковой "/>
    <d v="2021-06-04T00:00:00"/>
    <x v="1"/>
    <s v="ТОО &quot;Garant Stroy&quot;"/>
    <s v="170140020417"/>
    <s v="ТОО &quot;NC Invest&quot;"/>
    <s v="210340007942"/>
    <n v="5242062903"/>
    <n v="22319"/>
    <m/>
    <m/>
    <m/>
    <x v="105"/>
    <n v="292"/>
    <n v="292"/>
    <s v="3,12,16"/>
    <d v="2021-04-01T00:00:00"/>
    <d v="2021-09-30T00:00:00"/>
    <d v="2022-12-30T00:00:00"/>
    <m/>
    <m/>
    <d v="2022-11-03T00:00:00"/>
    <n v="51946728"/>
    <s v="ДПГ-21-02-025/069"/>
    <n v="3075654518"/>
    <s v="Камалитден Б."/>
    <n v="92"/>
    <m/>
    <m/>
    <m/>
    <m/>
    <x v="0"/>
  </r>
  <r>
    <n v="119"/>
    <s v="МЖК Ак Дидар 3, пятна 16-18"/>
    <d v="2021-11-02T00:00:00"/>
    <x v="0"/>
    <s v="ТОО &quot;BAZIS-A Corp.&quot;"/>
    <n v="960340000376"/>
    <s v="ТОО &quot;Ак Дидар 3&quot;"/>
    <s v="170840012312"/>
    <n v="2657879549"/>
    <n v="13835.8"/>
    <m/>
    <m/>
    <m/>
    <x v="106"/>
    <n v="184"/>
    <n v="184"/>
    <n v="9"/>
    <d v="2021-08-06T00:00:00"/>
    <d v="2023-01-06T00:00:00"/>
    <m/>
    <m/>
    <m/>
    <d v="2022-10-26T00:00:00"/>
    <n v="26330712"/>
    <s v="ДПГ-21-01-001/097"/>
    <n v="1904267944"/>
    <s v="Аяпова Г."/>
    <n v="74"/>
    <m/>
    <m/>
    <m/>
    <m/>
    <x v="0"/>
  </r>
  <r>
    <n v="120"/>
    <s v="МЖК KULAN "/>
    <d v="2022-01-20T00:00:00"/>
    <x v="0"/>
    <s v="ТОО &quot;РинЭлд&quot;"/>
    <s v="071140003260"/>
    <s v="ТОО &quot;Азия Глобал Астана&quot;"/>
    <s v="141140022044"/>
    <n v="7890743167"/>
    <n v="34762"/>
    <m/>
    <m/>
    <m/>
    <x v="107"/>
    <n v="430"/>
    <n v="430"/>
    <n v="18"/>
    <d v="2021-11-12T00:00:00"/>
    <d v="2023-05-12T00:00:00"/>
    <m/>
    <m/>
    <m/>
    <d v="2022-10-03T00:00:00"/>
    <n v="63075630"/>
    <s v="ДПГ-22-01-038/104"/>
    <m/>
    <s v="Уринбасарова М."/>
    <n v="82"/>
    <m/>
    <m/>
    <m/>
    <m/>
    <x v="0"/>
  </r>
  <r>
    <n v="121"/>
    <s v="МЖК Asyl Mura, блок Б"/>
    <d v="2021-05-20T00:00:00"/>
    <x v="0"/>
    <s v="ТОО &quot;Милан-Астана&quot;"/>
    <s v="110540015593"/>
    <s v="ТОО &quot;Цесинстрой&quot;"/>
    <s v="110340014607"/>
    <n v="7638011068"/>
    <n v="38552.29"/>
    <m/>
    <m/>
    <m/>
    <x v="54"/>
    <n v="318"/>
    <n v="318"/>
    <n v="9"/>
    <d v="2021-03-15T00:00:00"/>
    <d v="2023-02-15T00:00:00"/>
    <m/>
    <m/>
    <m/>
    <d v="2022-11-22T00:00:00"/>
    <n v="75230080"/>
    <s v="доп.согл. № 3 к _x000a_ДПГ-20-01-008/031 05.02.2020"/>
    <n v="6189872863"/>
    <s v="Алимжанова Д."/>
    <n v="81"/>
    <m/>
    <m/>
    <m/>
    <m/>
    <x v="0"/>
  </r>
  <r>
    <m/>
    <s v="Увеличение стоимости_x000a_ МЖК Асыл Мура, блок В. Наружные инженерные сети"/>
    <d v="2021-11-23T00:00:00"/>
    <x v="0"/>
    <s v="ТОО &quot;Nova City Development&quot;"/>
    <s v="110540015593"/>
    <s v="ТОО &quot;Цесинстрой&quot;"/>
    <s v="110340014607"/>
    <n v="674905764"/>
    <n v="0"/>
    <m/>
    <m/>
    <m/>
    <x v="108"/>
    <n v="0"/>
    <n v="0"/>
    <n v="0"/>
    <d v="2021-09-20T00:00:00"/>
    <d v="2023-02-15T00:00:00"/>
    <m/>
    <m/>
    <m/>
    <d v="2022-11-22T00:00:00"/>
    <n v="6749058"/>
    <s v="доп.согл. № 6 к _x000a_ДПГ-20-01-008/031 05.02.2020 "/>
    <m/>
    <s v="Алимжанова Д."/>
    <n v="81"/>
    <m/>
    <m/>
    <m/>
    <m/>
    <x v="0"/>
  </r>
  <r>
    <n v="122"/>
    <s v="МЖК Landmark 2 очередь, пятна 3,4,5"/>
    <d v="2021-05-25T00:00:00"/>
    <x v="0"/>
    <s v="ТОО &quot;BAZIS-A Corp.&quot;"/>
    <n v="960340000376"/>
    <s v="ТОО &quot;Dostyk Land&quot;"/>
    <s v="190240034484"/>
    <n v="4203952682"/>
    <n v="27491.57"/>
    <m/>
    <m/>
    <m/>
    <x v="81"/>
    <n v="280"/>
    <n v="280"/>
    <n v="21"/>
    <d v="2020-08-11T00:00:00"/>
    <d v="2023-01-11T00:00:00"/>
    <m/>
    <m/>
    <m/>
    <d v="2022-12-23T00:00:00"/>
    <n v="41086170"/>
    <s v="доп.согл. № 4 к _x000a_ДПГ-20-01-001/037  28.02.2020"/>
    <n v="2552875850"/>
    <s v="Алимжанова Д."/>
    <n v="84"/>
    <m/>
    <m/>
    <m/>
    <m/>
    <x v="0"/>
  </r>
  <r>
    <m/>
    <s v="МЖК Cемья, 1 очередь"/>
    <d v="2022-08-23T00:00:00"/>
    <x v="8"/>
    <s v=" ТОО &quot;Trans Service Company AST&quot;"/>
    <s v="080740001641"/>
    <s v="ТОО &quot;ИННОВАЦИЯ ПЛЮС&quot;"/>
    <s v="220240017482"/>
    <n v="881590818"/>
    <n v="5910"/>
    <m/>
    <m/>
    <m/>
    <x v="109"/>
    <n v="64"/>
    <n v="64"/>
    <n v="4"/>
    <d v="2022-04-28T00:00:00"/>
    <d v="2023-11-28T00:00:00"/>
    <m/>
    <m/>
    <m/>
    <d v="2022-11-30T00:00:00"/>
    <m/>
    <m/>
    <m/>
    <m/>
    <m/>
    <m/>
    <m/>
    <m/>
    <m/>
    <x v="0"/>
  </r>
  <r>
    <n v="123"/>
    <s v="МЖК Auezov City, 2 очередь, пятна 3,4"/>
    <d v="2021-09-07T00:00:00"/>
    <x v="1"/>
    <s v="ТОО &quot;BAZIS-A Corp.&quot; "/>
    <n v="960340000376"/>
    <s v="ТОО &quot;Familia House&quot;"/>
    <s v="200940032606"/>
    <n v="4141712471"/>
    <n v="20418.099999999999"/>
    <m/>
    <m/>
    <m/>
    <x v="110"/>
    <n v="280"/>
    <n v="280"/>
    <n v="15"/>
    <s v="Пятно 3 - 03.07.2021г. _x000a_Пятно 4 - 16.07.2021г."/>
    <s v="Пятно 3 - 03.11.2022г._x000a_Пятно 4 - 16.11.2022г."/>
    <d v="2023-02-16T00:00:00"/>
    <m/>
    <m/>
    <d v="2022-12-26T00:00:00"/>
    <n v="40236838"/>
    <s v="доп.согл. № 1 к_x000a_ДПГ-21-02-001/062  от 17.05.2021"/>
    <n v="3070319163"/>
    <s v="Уринбасарова М."/>
    <n v="74"/>
    <m/>
    <m/>
    <m/>
    <m/>
    <x v="0"/>
  </r>
  <r>
    <n v="124"/>
    <s v="МЖК Asar house "/>
    <d v="2022-07-05T00:00:00"/>
    <x v="3"/>
    <s v="ТОО &quot;Композит-7&quot;"/>
    <s v="050640012251"/>
    <s v=" ТОО &quot;ASAR HOUSE&quot;"/>
    <s v="210740014236"/>
    <n v="1977884401"/>
    <n v="7070.7"/>
    <m/>
    <m/>
    <m/>
    <x v="111"/>
    <n v="100"/>
    <n v="100"/>
    <n v="5"/>
    <d v="2022-04-25T00:00:00"/>
    <d v="2023-03-25T00:00:00"/>
    <m/>
    <m/>
    <m/>
    <d v="2022-12-27T00:00:00"/>
    <n v="39413928"/>
    <s v="ДПГ-22-13-046/118"/>
    <m/>
    <s v="Исмаков А."/>
    <n v="91"/>
    <m/>
    <m/>
    <m/>
    <m/>
    <x v="0"/>
  </r>
  <r>
    <n v="125"/>
    <s v="МЖК Арлан"/>
    <d v="2022-06-21T00:00:00"/>
    <x v="4"/>
    <s v="ТОО &quot;Atamura Group&quot;"/>
    <s v="080440009616"/>
    <s v="ТОО &quot;Arlyn&quot;"/>
    <s v="220240012421"/>
    <n v="1254168086"/>
    <n v="4352.5"/>
    <m/>
    <m/>
    <m/>
    <x v="112"/>
    <n v="58"/>
    <n v="70"/>
    <n v="5"/>
    <d v="2022-03-29T00:00:00"/>
    <d v="2023-01-29T00:00:00"/>
    <m/>
    <m/>
    <m/>
    <d v="2023-01-18T00:00:00"/>
    <n v="9996628"/>
    <s v="ДПГ-22-05-052/113"/>
    <m/>
    <s v="Нурбаев Н."/>
    <n v="96"/>
    <m/>
    <m/>
    <m/>
    <m/>
    <x v="0"/>
  </r>
  <r>
    <n v="126"/>
    <s v="ЖК Хоккайдо"/>
    <d v="2021-08-03T00:00:00"/>
    <x v="0"/>
    <s v="ТОО &quot;Биік Шаңырақ&quot;"/>
    <s v="140740007872"/>
    <s v="ТОО &quot;РДМ-Сервис&quot;"/>
    <s v="140740014518"/>
    <n v="1913348225"/>
    <n v="10142.5"/>
    <m/>
    <m/>
    <m/>
    <x v="78"/>
    <n v="76"/>
    <n v="76"/>
    <n v="12"/>
    <d v="2021-04-19T00:00:00"/>
    <d v="2022-04-19T00:00:00"/>
    <d v="2022-07-19T00:00:00"/>
    <d v="2022-10-19T00:00:00"/>
    <d v="2023-01-19T00:00:00"/>
    <d v="2023-01-04T00:00:00"/>
    <n v="15845471"/>
    <s v="ДПГ-21-01-034/077"/>
    <m/>
    <s v="Жакыпбеков А."/>
    <n v="87"/>
    <m/>
    <m/>
    <m/>
    <m/>
    <x v="0"/>
  </r>
  <r>
    <n v="127"/>
    <s v="МЖК Монако, пятно 4,блок 7-1"/>
    <d v="2021-11-18T00:00:00"/>
    <x v="0"/>
    <s v="ТОО &quot;BAZIS-A Corp.&quot;"/>
    <n v="960340000376"/>
    <s v="ТОО &quot;Euro City-1&quot;"/>
    <s v="190440041434"/>
    <n v="714942693"/>
    <n v="4226.16"/>
    <m/>
    <m/>
    <m/>
    <x v="113"/>
    <n v="32"/>
    <n v="32"/>
    <n v="8"/>
    <d v="2021-10-06T00:00:00"/>
    <d v="2022-05-06T00:00:00"/>
    <d v="2022-08-06T00:00:00"/>
    <d v="2022-11-06T00:00:00"/>
    <d v="2023-02-06T00:00:00"/>
    <d v="2023-01-30T00:00:00"/>
    <n v="7120664"/>
    <s v="доп.согл. № 3 к _x000a_ДПГ-21-01-001/054 30.03.2021"/>
    <n v="482686491"/>
    <s v="Нурбаев Н."/>
    <n v="74"/>
    <m/>
    <m/>
    <m/>
    <m/>
    <x v="0"/>
  </r>
  <r>
    <n v="128"/>
    <s v="МЖК Batagai, 1, 2 очереди"/>
    <d v="2021-11-16T00:00:00"/>
    <x v="0"/>
    <s v="ТОО &quot;BI Development Astana&quot;"/>
    <s v="130940009587"/>
    <s v="ТОО &quot;Green Line Terra&quot;"/>
    <s v="210440031067"/>
    <n v="14427929363"/>
    <n v="52895.49"/>
    <m/>
    <m/>
    <m/>
    <x v="114"/>
    <n v="505"/>
    <n v="505"/>
    <s v="1, 9, 14, 20"/>
    <d v="2021-10-13T00:00:00"/>
    <d v="2023-10-13T00:00:00"/>
    <m/>
    <m/>
    <m/>
    <d v="2023-01-31T00:00:00"/>
    <n v="141649069"/>
    <s v="ДПГ-21-01-043/099"/>
    <n v="10802747511"/>
    <s v="Алимжанова Д."/>
    <n v="70"/>
    <m/>
    <m/>
    <m/>
    <m/>
    <x v="0"/>
  </r>
  <r>
    <n v="129"/>
    <s v="МЖК Angleterre, 2-я очередь"/>
    <d v="2021-11-29T00:00:00"/>
    <x v="0"/>
    <s v="ТОО &quot;СИНТЭКО&quot;"/>
    <s v="040940003747"/>
    <s v="ТОО &quot;ЭКО-ПОТОК&quot;"/>
    <s v="130240019112"/>
    <n v="3723017842"/>
    <n v="16646.939999999999"/>
    <m/>
    <m/>
    <m/>
    <x v="115"/>
    <n v="202"/>
    <n v="202"/>
    <s v="12, 15, 17"/>
    <d v="2021-10-10T00:00:00"/>
    <d v="2022-09-10T00:00:00"/>
    <d v="2022-12-10T00:00:00"/>
    <d v="2023-03-10T00:00:00"/>
    <m/>
    <d v="2023-01-31T00:00:00"/>
    <n v="34824929"/>
    <s v="ДПГ-21-01-032/074"/>
    <m/>
    <s v="Исмаков А."/>
    <n v="69"/>
    <m/>
    <m/>
    <m/>
    <m/>
    <x v="0"/>
  </r>
  <r>
    <n v="130"/>
    <s v="МЖК Престиж "/>
    <d v="2021-12-30T00:00:00"/>
    <x v="3"/>
    <s v="ТОО &quot;Композит-7&quot;"/>
    <s v="050640012251"/>
    <s v="ТОО &quot;Dostyq Invest Group&quot;"/>
    <s v="190140008530"/>
    <n v="3337917283"/>
    <n v="13974.9"/>
    <m/>
    <m/>
    <m/>
    <x v="116"/>
    <n v="76"/>
    <n v="76"/>
    <n v="5"/>
    <d v="2021-10-08T00:00:00"/>
    <d v="2022-08-08T00:00:00"/>
    <d v="2022-11-08T00:00:00"/>
    <d v="2023-02-08T00:00:00"/>
    <m/>
    <d v="2023-02-03T00:00:00"/>
    <n v="30170965"/>
    <s v="ДПГ-22-13-046/103"/>
    <m/>
    <s v="Исмаков А."/>
    <n v="68"/>
    <m/>
    <m/>
    <m/>
    <m/>
    <x v="0"/>
  </r>
  <r>
    <n v="131"/>
    <s v="МЖК Столичный-2"/>
    <d v="2022-01-27T00:00:00"/>
    <x v="0"/>
    <s v="ТОО &quot;MERIDIAN stroy LTD&quot;"/>
    <s v="070740007004"/>
    <s v="ТОО &quot;Egregor of Finance Sh.R&quot;"/>
    <s v="180540002396"/>
    <n v="2623084471.5"/>
    <n v="12795"/>
    <m/>
    <m/>
    <m/>
    <x v="117"/>
    <n v="161"/>
    <n v="161"/>
    <n v="24"/>
    <d v="2021-10-14T00:00:00"/>
    <d v="2022-12-14T00:00:00"/>
    <d v="2023-03-14T00:00:00"/>
    <m/>
    <m/>
    <d v="2023-10-26T00:00:00"/>
    <n v="43394192"/>
    <s v="ДПГ-22-010-047/105"/>
    <m/>
    <s v="Башеева Ж."/>
    <n v="84"/>
    <m/>
    <m/>
    <m/>
    <m/>
    <x v="0"/>
  </r>
  <r>
    <m/>
    <s v="Уменьшение стоимости _x000a_МЖК Столичный-2"/>
    <d v="2023-02-02T00:00:00"/>
    <x v="0"/>
    <s v="ТОО &quot;MERIDIAN stroy LTD&quot;"/>
    <s v="070740007004"/>
    <s v="ТОО &quot;Egregor of Finance Sh.R&quot;"/>
    <s v="180540002396"/>
    <n v="2664473813.5"/>
    <n v="12795"/>
    <m/>
    <m/>
    <m/>
    <x v="117"/>
    <n v="161"/>
    <n v="161"/>
    <n v="24"/>
    <d v="2021-10-14T00:00:00"/>
    <d v="2023-03-14T00:00:00"/>
    <m/>
    <m/>
    <m/>
    <d v="2023-01-10T00:00:00"/>
    <n v="-17163346"/>
    <s v="доп.согл.№ 1 к _x000a_ДПГ-22-01-047/105 от 15.02.2022"/>
    <n v="2664473813.5"/>
    <s v="Башеева Ж."/>
    <n v="84"/>
    <m/>
    <m/>
    <m/>
    <m/>
    <x v="0"/>
  </r>
  <r>
    <n v="132"/>
    <s v="МЖК Адам Арманы"/>
    <d v="2021-10-26T00:00:00"/>
    <x v="0"/>
    <s v="ТОО &quot;Строительство зданий и сооружений&quot;"/>
    <s v="080340002536"/>
    <s v="ТОО &quot;VIP жилье&quot;"/>
    <s v="170240025312"/>
    <n v="4189841202"/>
    <n v="24087.8"/>
    <m/>
    <m/>
    <m/>
    <x v="118"/>
    <n v="222"/>
    <n v="222"/>
    <s v="9, 12"/>
    <d v="2021-01-26T00:00:00"/>
    <d v="2022-04-30T00:00:00"/>
    <d v="2022-07-30T00:00:00"/>
    <d v="2022-10-30T00:00:00"/>
    <d v="2023-01-30T00:00:00"/>
    <d v="2023-02-13T00:00:00"/>
    <n v="35541630"/>
    <s v="ДПГ-21-01-040/092"/>
    <m/>
    <s v="Хамзин А."/>
    <n v="71"/>
    <m/>
    <m/>
    <m/>
    <m/>
    <x v="0"/>
  </r>
  <r>
    <n v="133"/>
    <s v="МЖК Монако, пятна 1,2"/>
    <d v="2021-10-12T00:00:00"/>
    <x v="0"/>
    <s v="ТОО &quot;BAZIS-A Corp.&quot;"/>
    <n v="960340000376"/>
    <s v="ТОО &quot;Euro City-1&quot;"/>
    <s v="190440041434"/>
    <n v="4131946931"/>
    <n v="17546.03"/>
    <m/>
    <m/>
    <m/>
    <x v="119"/>
    <n v="118"/>
    <n v="118"/>
    <s v="12, 14"/>
    <d v="2021-03-15T00:00:00"/>
    <d v="2022-12-15T00:00:00"/>
    <d v="2023-03-15T00:00:00"/>
    <m/>
    <m/>
    <d v="2023-03-13T00:00:00"/>
    <n v="36410669"/>
    <s v="доп.согл. № 1 к_x000a_ДПГ-21-01-001/054 30.03.2021"/>
    <n v="2181890130"/>
    <s v="Нурбаев Н."/>
    <n v="74"/>
    <m/>
    <m/>
    <m/>
    <m/>
    <x v="0"/>
  </r>
  <r>
    <n v="134"/>
    <s v="МЖК в мкр. Береке "/>
    <d v="2022-02-11T00:00:00"/>
    <x v="8"/>
    <s v="ТОО &quot;БК-СТРОЙ&quot;"/>
    <s v="031040001233"/>
    <s v="ТОО &quot;БК-Инвест 109&quot;"/>
    <s v="211140017678"/>
    <n v="2548284320"/>
    <n v="19437.099999999999"/>
    <m/>
    <m/>
    <m/>
    <x v="120"/>
    <n v="207"/>
    <n v="207"/>
    <n v="9"/>
    <d v="2021-12-09T00:00:00"/>
    <d v="2022-12-09T00:00:00"/>
    <d v="2023-03-09T00:00:00"/>
    <m/>
    <m/>
    <d v="2023-02-22T00:00:00"/>
    <n v="25482843"/>
    <s v="ДПГ-22-10-048/107"/>
    <m/>
    <s v="Уринбасарова М."/>
    <n v="100"/>
    <m/>
    <m/>
    <m/>
    <m/>
    <x v="0"/>
  </r>
  <r>
    <n v="135"/>
    <s v="МЖК Асыл Мура блок D"/>
    <d v="2022-01-27T00:00:00"/>
    <x v="0"/>
    <s v="ТОО &quot;Nova City Development&quot; "/>
    <s v="110540015593"/>
    <s v="ТОО &quot;Цесинстрой&quot;"/>
    <s v="110340014607"/>
    <n v="10967277322"/>
    <n v="36026.400000000001"/>
    <m/>
    <m/>
    <m/>
    <x v="121"/>
    <n v="304"/>
    <n v="304"/>
    <s v="1, 9, 12, 14"/>
    <d v="2021-11-16T00:00:00"/>
    <d v="2023-02-16T00:00:00"/>
    <d v="2023-05-16T00:00:00"/>
    <m/>
    <m/>
    <d v="2023-03-31T00:00:00"/>
    <n v="108547511"/>
    <s v="доп.согл. № 6 к _x000a_ДПГ-20-01-008/031 05.02.2020 "/>
    <m/>
    <s v="Алимжанова Д."/>
    <n v="73"/>
    <m/>
    <m/>
    <m/>
    <m/>
    <x v="0"/>
  </r>
  <r>
    <n v="136"/>
    <s v="МЖК Sezim, Qala, 12 очередь"/>
    <d v="2021-09-23T00:00:00"/>
    <x v="0"/>
    <s v="ТОО &quot;Nova City Development&quot; "/>
    <s v="110540015593"/>
    <s v=" ТОО &quot;Esil Town&quot;"/>
    <s v="181140019271"/>
    <n v="4580426896"/>
    <n v="24186.6"/>
    <m/>
    <m/>
    <m/>
    <x v="122"/>
    <n v="287"/>
    <n v="287"/>
    <s v="9, 12"/>
    <d v="2021-06-16T00:00:00"/>
    <d v="2023-02-16T00:00:00"/>
    <d v="2023-05-16T00:00:00"/>
    <m/>
    <m/>
    <d v="2023-03-31T00:00:00"/>
    <n v="45466436.780000001"/>
    <s v="ДПГ-21-01-008/089"/>
    <n v="3954052790"/>
    <s v="Нурбаев Н."/>
    <n v="73"/>
    <m/>
    <m/>
    <m/>
    <m/>
    <x v="0"/>
  </r>
  <r>
    <m/>
    <s v="Увеличение стоимости_x000a_МЖК Sezim, Qala 12 очередь _x000a_Наружные инженерные сети. "/>
    <d v="2022-01-20T00:00:00"/>
    <x v="0"/>
    <s v="ТОО &quot;Nova City Development&quot; "/>
    <s v="110540015593"/>
    <s v="ТОО &quot;Esil Town&quot;"/>
    <s v="181140019271"/>
    <n v="269027742"/>
    <n v="0"/>
    <m/>
    <m/>
    <m/>
    <x v="104"/>
    <n v="0"/>
    <n v="0"/>
    <n v="0"/>
    <d v="2021-09-02T00:00:00"/>
    <d v="2023-05-16T00:00:00"/>
    <m/>
    <m/>
    <m/>
    <d v="2023-03-31T00:00:00"/>
    <n v="2690277"/>
    <s v="доп.согл. № 1 к_x000a_ДПГ-21-01-008/089 14.09.2021"/>
    <m/>
    <m/>
    <n v="73"/>
    <m/>
    <m/>
    <m/>
    <m/>
    <x v="0"/>
  </r>
  <r>
    <n v="137"/>
    <s v="МЖК Life Town, 1 очередь, 1 пусковой и наружные сети"/>
    <d v="2021-09-16T00:00:00"/>
    <x v="1"/>
    <s v="ТОО &quot;Garant stroy&quot; "/>
    <s v="170140020417"/>
    <s v=" ТОО &quot;Life Town&quot;"/>
    <s v="210440020458"/>
    <n v="8144475097"/>
    <n v="30114.38"/>
    <m/>
    <m/>
    <m/>
    <x v="123"/>
    <n v="323"/>
    <n v="323"/>
    <n v="12"/>
    <d v="2021-06-30T00:00:00"/>
    <d v="2023-07-30T00:00:00"/>
    <m/>
    <m/>
    <m/>
    <d v="2023-05-02T00:00:00"/>
    <m/>
    <s v="ДПГ-21-02-025/073"/>
    <n v="7171478182"/>
    <s v="Аяпова Г."/>
    <n v="92"/>
    <m/>
    <m/>
    <m/>
    <m/>
    <x v="0"/>
  </r>
  <r>
    <n v="138"/>
    <s v="МЖК ARMAN-TAU COMFORT, 2 очередь"/>
    <d v="2021-04-27T00:00:00"/>
    <x v="0"/>
    <s v="ТОО &quot;Айзия KZ&quot;"/>
    <s v="121240010070"/>
    <s v="ТОО &quot;ARMAN-TAU COMFORT&quot;"/>
    <s v="181040031959"/>
    <n v="2394747276"/>
    <n v="15182.7"/>
    <m/>
    <m/>
    <m/>
    <x v="124"/>
    <n v="102"/>
    <n v="102"/>
    <n v="18"/>
    <d v="2021-02-09T00:00:00"/>
    <d v="2022-12-09T00:00:00"/>
    <d v="2023-03-09T00:00:00"/>
    <d v="2023-06-09T00:00:00"/>
    <d v="2023-06-09T00:00:00"/>
    <d v="2023-05-03T00:00:00"/>
    <n v="23442931"/>
    <s v="ДПГ-21-01-029/064"/>
    <m/>
    <s v="Исмаков А."/>
    <n v="89"/>
    <m/>
    <m/>
    <m/>
    <m/>
    <x v="0"/>
  </r>
  <r>
    <n v="139"/>
    <s v="МЖК Prime Park"/>
    <d v="2021-06-08T00:00:00"/>
    <x v="3"/>
    <s v="ТОО &quot;Оңтүстік құрылыс Сервис&quot;"/>
    <s v="010340004024"/>
    <s v="ТОО &quot;Prime Park&quot;"/>
    <s v="200240004050"/>
    <n v="7032122117"/>
    <n v="22629.3"/>
    <m/>
    <m/>
    <m/>
    <x v="105"/>
    <n v="306"/>
    <n v="306"/>
    <n v="9"/>
    <d v="2021-04-23T00:00:00"/>
    <d v="2022-08-23T00:00:00"/>
    <d v="2022-11-23T00:00:00"/>
    <d v="2023-02-23T00:00:00"/>
    <d v="2023-05-23T00:00:00"/>
    <d v="2023-05-12T00:00:00"/>
    <n v="70321221"/>
    <s v="ДПГ-21-13-004/068"/>
    <m/>
    <s v="Нурбаев Н."/>
    <n v="68"/>
    <m/>
    <m/>
    <m/>
    <m/>
    <x v="0"/>
  </r>
  <r>
    <m/>
    <s v="МЖК Elorda residensе (пятно 1)"/>
    <d v="2021-11-02T00:00:00"/>
    <x v="5"/>
    <s v="ТОО &quot;Атырау ЖБИ 2005&quot;"/>
    <s v="050140015456"/>
    <s v="ТОО &quot;MBS Capital&quot;"/>
    <s v="200340025601"/>
    <n v="1888729449"/>
    <n v="8308.2999999999993"/>
    <m/>
    <m/>
    <m/>
    <x v="114"/>
    <n v="54"/>
    <n v="54"/>
    <n v="9"/>
    <d v="2021-02-17T00:00:00"/>
    <d v="2022-09-01T00:00:00"/>
    <d v="2022-12-01T00:00:00"/>
    <d v="2023-03-01T00:00:00"/>
    <d v="2023-06-01T00:00:00"/>
    <d v="2023-05-16T00:00:00"/>
    <m/>
    <s v="ДПГ-21-06-042/095"/>
    <m/>
    <s v="Кенесов М."/>
    <n v="84"/>
    <m/>
    <m/>
    <m/>
    <m/>
    <x v="0"/>
  </r>
  <r>
    <n v="140"/>
    <s v="МЖК Австрийский квартал, блоки 1,2,3"/>
    <d v="2021-03-18T00:00:00"/>
    <x v="0"/>
    <s v="ТОО &quot;BAZIS-A Corp.&quot; "/>
    <n v="960340000376"/>
    <s v="ТОО &quot;Восточный квартал&quot;"/>
    <s v="190440041404"/>
    <n v="3158014308"/>
    <n v="20590.2"/>
    <m/>
    <m/>
    <m/>
    <x v="125"/>
    <n v="94"/>
    <n v="94"/>
    <n v="8"/>
    <d v="2021-01-28T00:00:00"/>
    <d v="2022-09-28T00:00:00"/>
    <d v="2022-12-28T00:00:00"/>
    <d v="2023-03-28T00:00:00"/>
    <d v="2023-06-28T00:00:00"/>
    <d v="2023-06-01T00:00:00"/>
    <n v="31148273"/>
    <s v="ДПГ-21-01-001/058"/>
    <n v="1817522338"/>
    <s v="Аяпова Г."/>
    <n v="84"/>
    <m/>
    <m/>
    <m/>
    <m/>
    <x v="0"/>
  </r>
  <r>
    <n v="141"/>
    <s v="МЖК Gulder 4 очередь, 2 пусковой"/>
    <d v="2021-09-28T00:00:00"/>
    <x v="1"/>
    <s v="ТОО &quot;Garant stroy&quot;"/>
    <s v="170140020417"/>
    <s v="ТОО &quot;NC Homes&quot;"/>
    <s v="210440026348"/>
    <n v="3392109393"/>
    <n v="11238.23"/>
    <m/>
    <m/>
    <m/>
    <x v="126"/>
    <n v="156"/>
    <n v="158"/>
    <n v="16"/>
    <d v="2021-08-15T00:00:00"/>
    <d v="2022-09-15T00:00:00"/>
    <d v="2022-12-15T00:00:00"/>
    <d v="2023-03-15T00:00:00"/>
    <d v="2023-06-15T00:00:00"/>
    <d v="2023-09-11T00:00:00"/>
    <n v="33591007"/>
    <s v="ДПГ-21-02-025/088"/>
    <n v="2908674188"/>
    <s v="Башеева Ж."/>
    <n v="92"/>
    <m/>
    <m/>
    <m/>
    <m/>
    <x v="0"/>
  </r>
  <r>
    <n v="142"/>
    <s v="МЖК K7 Family, 2-3 очередь"/>
    <d v="2021-06-08T00:00:00"/>
    <x v="5"/>
    <s v="ТОО &quot;Сартай Энерго сервис&quot;"/>
    <s v="070240022179"/>
    <s v="ТОО &quot;K7 Construction&quot;"/>
    <s v="190140013795"/>
    <n v="5405809863"/>
    <n v="42064.2"/>
    <m/>
    <m/>
    <m/>
    <x v="127"/>
    <n v="440"/>
    <n v="495"/>
    <n v="9"/>
    <d v="2021-05-04T00:00:00"/>
    <d v="2022-10-04T00:00:00"/>
    <d v="2023-01-04T00:00:00"/>
    <d v="2023-04-04T00:00:00"/>
    <d v="2023-07-04T00:00:00"/>
    <d v="2023-06-26T00:00:00"/>
    <n v="48636740"/>
    <s v="доп.согл. № 1 к_x000a_ДПГ-20-06-021/044 "/>
    <m/>
    <s v="Нурбаев Н."/>
    <n v="70"/>
    <m/>
    <m/>
    <m/>
    <m/>
    <x v="0"/>
  </r>
  <r>
    <m/>
    <s v="МЖК Алия, 1 очередь"/>
    <d v="2021-11-04T00:00:00"/>
    <x v="9"/>
    <s v="ТОО &quot;Сартай Энерго Сервис&quot;"/>
    <s v="070240022179"/>
    <s v="ТОО &quot;K7 Engineering&quot;"/>
    <s v="191040002530"/>
    <n v="5649266960"/>
    <n v="35758.5"/>
    <m/>
    <m/>
    <m/>
    <x v="128"/>
    <n v="480"/>
    <n v="471"/>
    <n v="5"/>
    <d v="2021-06-23T00:00:00"/>
    <d v="2024-05-22T00:00:00"/>
    <m/>
    <m/>
    <m/>
    <d v="2023-07-10T00:00:00"/>
    <n v="116526220"/>
    <s v="ДПГ-21-04-021/096"/>
    <m/>
    <s v="Уринбасарова М."/>
    <n v="80"/>
    <m/>
    <m/>
    <m/>
    <m/>
    <x v="0"/>
  </r>
  <r>
    <n v="143"/>
    <s v="МЖК Жер Ана_x000a_"/>
    <d v="2020-09-04T00:00:00"/>
    <x v="1"/>
    <s v="ТОО &quot;Атрикс строй&quot;"/>
    <s v="021240006160"/>
    <s v="ТОО &quot;ЖК Жер-Ана&quot;"/>
    <s v="140140015900"/>
    <n v="6150332110"/>
    <n v="34788.65"/>
    <m/>
    <m/>
    <m/>
    <x v="129"/>
    <n v="224"/>
    <n v="236"/>
    <n v="17.18"/>
    <d v="2020-08-12T00:00:00"/>
    <d v="2022-10-12T00:00:00"/>
    <d v="2023-01-12T00:00:00"/>
    <d v="2023-04-12T00:00:00"/>
    <d v="2023-07-12T00:00:00"/>
    <d v="2023-07-11T00:00:00"/>
    <n v="110320752"/>
    <s v="ДПГ-20-02-014/047"/>
    <m/>
    <s v="Исмаков А."/>
    <n v="69"/>
    <m/>
    <m/>
    <m/>
    <m/>
    <x v="0"/>
  </r>
  <r>
    <m/>
    <s v="Увеличение стоимости _x000a_МЖК Жер Ана"/>
    <d v="2022-04-12T00:00:00"/>
    <x v="1"/>
    <s v="ТОО &quot;Атрикс строй&quot;"/>
    <s v="021240006160"/>
    <s v="ТОО &quot;ЖК Жер-Ана&quot;"/>
    <s v="140140015900"/>
    <n v="2346373661"/>
    <n v="0"/>
    <m/>
    <m/>
    <m/>
    <x v="130"/>
    <n v="0"/>
    <n v="0"/>
    <s v="-"/>
    <d v="2020-08-12T00:00:00"/>
    <d v="2022-10-12T00:00:00"/>
    <d v="2023-01-12T00:00:00"/>
    <d v="2023-04-12T00:00:00"/>
    <d v="2023-07-12T00:00:00"/>
    <d v="2023-07-11T00:00:00"/>
    <n v="23463737"/>
    <s v="доп.согл. № 2 к _x000a_ДПГ-20-02-014/047 от 17.09.20"/>
    <m/>
    <s v="Исмаков А."/>
    <n v="69"/>
    <m/>
    <m/>
    <m/>
    <m/>
    <x v="0"/>
  </r>
  <r>
    <n v="144"/>
    <s v="МЖК SOHO 2 А"/>
    <d v="2022-02-04T00:00:00"/>
    <x v="0"/>
    <s v="ТОО &quot;BAZIS-A Corp.&quot;"/>
    <n v="960340000376"/>
    <s v="ТОО &quot;Royal Town-1&quot; "/>
    <s v="190540004631"/>
    <n v="6818945553"/>
    <n v="33535.279999999999"/>
    <m/>
    <m/>
    <m/>
    <x v="131"/>
    <n v="308"/>
    <n v="308"/>
    <s v="7, 9, 12"/>
    <d v="2021-12-20T00:00:00"/>
    <d v="2023-09-01T00:00:00"/>
    <m/>
    <m/>
    <m/>
    <d v="2023-08-22T00:00:00"/>
    <n v="67879636"/>
    <s v="доп.согл. №1 к _x000a_ДПГ-21-01-001/090  26.10.2021"/>
    <n v="6787963658"/>
    <s v="Аяпова Г."/>
    <n v="74"/>
    <m/>
    <m/>
    <m/>
    <m/>
    <x v="0"/>
  </r>
  <r>
    <n v="145"/>
    <s v="МЖК Laketown 2 очередь"/>
    <d v="2021-07-01T00:00:00"/>
    <x v="1"/>
    <s v="ТОО &quot;Garant stroy&quot;"/>
    <s v="170140020417"/>
    <s v="ТОО &quot;АДМ Строй НС&quot;"/>
    <s v="210440020428"/>
    <n v="5041329922"/>
    <n v="21860.5"/>
    <m/>
    <m/>
    <m/>
    <x v="75"/>
    <n v="237"/>
    <n v="237"/>
    <n v="17"/>
    <d v="2021-05-25T00:00:00"/>
    <d v="2023-02-25T00:00:00"/>
    <d v="2023-05-25T00:00:00"/>
    <d v="2023-08-25T00:00:00"/>
    <m/>
    <d v="2023-08-25T00:00:00"/>
    <n v="49883864"/>
    <s v="ДПГ-21-02-025/073"/>
    <n v="4328616644"/>
    <s v="Аяпова Г."/>
    <n v="92"/>
    <m/>
    <m/>
    <m/>
    <m/>
    <x v="0"/>
  </r>
  <r>
    <n v="146"/>
    <s v="МЖК Birlik "/>
    <d v="2022-03-29T00:00:00"/>
    <x v="3"/>
    <s v="ТОО &quot;Kanfar Building&quot;"/>
    <s v="060340004172"/>
    <s v="ТОО &quot;Birlik Satu&quot;"/>
    <s v="210940020654"/>
    <n v="8250830654"/>
    <n v="41968.4"/>
    <m/>
    <m/>
    <m/>
    <x v="132"/>
    <n v="272"/>
    <n v="272"/>
    <s v="1, 9, 12"/>
    <d v="2021-11-12T00:00:00"/>
    <d v="2023-07-12T00:00:00"/>
    <d v="2023-10-12T00:00:00"/>
    <m/>
    <m/>
    <d v="2023-09-25T00:00:00"/>
    <n v="82508307"/>
    <s v="ДПГ-22-13-050/110"/>
    <m/>
    <s v="Башеева Ж."/>
    <n v="64"/>
    <m/>
    <m/>
    <m/>
    <m/>
    <x v="0"/>
  </r>
  <r>
    <n v="147"/>
    <s v="МЖК SILVER"/>
    <d v="2021-08-10T00:00:00"/>
    <x v="0"/>
    <s v="ТОО &quot;ASTANA CAPITAL building project&quot; "/>
    <s v="040740007732"/>
    <s v="ТОО &quot;Almaty Development Company&quot;"/>
    <s v="100740005727"/>
    <n v="6278976341"/>
    <n v="34795.9"/>
    <m/>
    <m/>
    <m/>
    <x v="133"/>
    <n v="312"/>
    <n v="351"/>
    <n v="9"/>
    <d v="2021-06-17T00:00:00"/>
    <d v="2023-01-17T00:00:00"/>
    <d v="2023-04-17T00:00:00"/>
    <d v="2023-07-17T00:00:00"/>
    <d v="2023-10-17T00:00:00"/>
    <d v="2023-10-10T00:00:00"/>
    <n v="53279028"/>
    <s v="ДПГ-21-01-035/079"/>
    <n v="4656873188"/>
    <s v="Башеева Ж."/>
    <n v="70"/>
    <m/>
    <m/>
    <m/>
    <m/>
    <x v="0"/>
  </r>
  <r>
    <n v="148"/>
    <s v="МЖК Аккент, 90/1, пятна 1-8 (блоки 1-5)"/>
    <d v="2022-06-28T00:00:00"/>
    <x v="1"/>
    <s v="ТОО &quot;Ayt Housing Complex&quot; _x000a_(Айт Хаузинг Комплекс)"/>
    <s v="040340000999"/>
    <s v="ТОО &quot;Ақкент Құрылыс&quot;"/>
    <s v="210440006727"/>
    <n v="17142923032"/>
    <n v="31704.799999999999"/>
    <m/>
    <m/>
    <m/>
    <x v="134"/>
    <n v="1034"/>
    <n v="495"/>
    <n v="9"/>
    <d v="2021-11-24T00:00:00"/>
    <d v="2023-08-24T00:00:00"/>
    <d v="2023-11-24T00:00:00"/>
    <m/>
    <m/>
    <d v="2022-12-15T00:00:00"/>
    <n v="141679213"/>
    <s v="ДПГ-22-02-041/114"/>
    <m/>
    <s v="Арыстанбекова А."/>
    <n v="83"/>
    <m/>
    <m/>
    <m/>
    <m/>
    <x v="0"/>
  </r>
  <r>
    <m/>
    <s v="МЖК Аккент, 90/1, пятна 1-8 (блоки, 6-10, паркинг)"/>
    <d v="2022-06-28T00:00:00"/>
    <x v="1"/>
    <s v="ТОО &quot;Ayt Housing Complex&quot; _x000a_(Айт Хаузинг Комплекс)"/>
    <s v="040340000999"/>
    <s v="ТОО &quot;Ақкент Құрылыс&quot;"/>
    <s v="210440006727"/>
    <m/>
    <n v="38036.089999999997"/>
    <m/>
    <m/>
    <m/>
    <x v="134"/>
    <m/>
    <n v="594"/>
    <m/>
    <m/>
    <m/>
    <m/>
    <m/>
    <m/>
    <d v="2023-10-17T00:00:00"/>
    <m/>
    <m/>
    <m/>
    <m/>
    <m/>
    <m/>
    <m/>
    <m/>
    <m/>
    <x v="0"/>
  </r>
  <r>
    <n v="149"/>
    <s v="МЖК Sun City Блок 2"/>
    <d v="2022-09-01T00:00:00"/>
    <x v="10"/>
    <s v="ТОО &quot;KazSMU&quot;"/>
    <n v="970540007997"/>
    <s v="ТОО &quot;JK Sun City&quot;"/>
    <s v="150840000513"/>
    <n v="2220361349"/>
    <n v="7495.49"/>
    <m/>
    <m/>
    <m/>
    <x v="135"/>
    <n v="84"/>
    <n v="84"/>
    <n v="12"/>
    <d v="2022-06-08T00:00:00"/>
    <d v="2023-06-07T00:00:00"/>
    <d v="2023-09-07T00:00:00"/>
    <d v="2023-12-07T00:00:00"/>
    <m/>
    <d v="2023-10-10T00:00:00"/>
    <n v="22203613"/>
    <s v="ДПГ-22-05-031/122"/>
    <m/>
    <s v="Уринбасарова М."/>
    <n v="84"/>
    <m/>
    <m/>
    <m/>
    <m/>
    <x v="0"/>
  </r>
  <r>
    <n v="150"/>
    <s v=" МЖК Sun City, Блок 1"/>
    <d v="2022-11-03T00:00:00"/>
    <x v="10"/>
    <s v="ТОО &quot;KazSMU&quot;"/>
    <n v="970540007997"/>
    <s v="ТОО &quot;JK Sun City&quot;"/>
    <s v="150840000513"/>
    <n v="3974338040"/>
    <n v="13441.1"/>
    <m/>
    <m/>
    <m/>
    <x v="136"/>
    <n v="132"/>
    <n v="132"/>
    <n v="12"/>
    <d v="2022-09-30T00:00:00"/>
    <d v="2023-09-30T00:00:00"/>
    <d v="2023-12-30T00:00:00"/>
    <m/>
    <m/>
    <d v="2023-10-10T00:00:00"/>
    <n v="39743380"/>
    <s v="доп.согл.№ 1 к _x000a_ДПГ-22-05-031/122  13.09.2022"/>
    <m/>
    <s v="Уринбасарова М."/>
    <n v="67"/>
    <m/>
    <m/>
    <m/>
    <m/>
    <x v="0"/>
  </r>
  <r>
    <n v="151"/>
    <s v=" МЖК Sun City, Блок 3"/>
    <d v="2022-11-03T00:00:00"/>
    <x v="10"/>
    <s v="ТОО &quot;KazSMU&quot;"/>
    <n v="970540007997"/>
    <s v="ТОО &quot;JK Sun City&quot;"/>
    <s v="150840000513"/>
    <n v="4087535350"/>
    <n v="13498.53"/>
    <m/>
    <m/>
    <m/>
    <x v="136"/>
    <n v="144"/>
    <n v="144"/>
    <n v="12"/>
    <d v="2022-09-30T00:00:00"/>
    <d v="2023-09-30T00:00:00"/>
    <d v="2023-12-30T00:00:00"/>
    <m/>
    <m/>
    <d v="2023-10-10T00:00:00"/>
    <n v="40875353"/>
    <s v="доп.согл.№ 2 к _x000a_ДПГ-22-05-031/122  13.09.2022"/>
    <m/>
    <s v="Уринбасарова М."/>
    <n v="67"/>
    <m/>
    <m/>
    <m/>
    <m/>
    <x v="0"/>
  </r>
  <r>
    <n v="152"/>
    <s v="МЖК Auezov City, 3 очередь, пятна 5, 6, 7"/>
    <d v="2022-06-10T00:00:00"/>
    <x v="1"/>
    <s v="ТОО &quot;BAZIS-A Corp.&quot;"/>
    <n v="960340000376"/>
    <s v="ТОО &quot;Familia House&quot;"/>
    <s v="200940032606"/>
    <n v="4456001883"/>
    <n v="17166.599999999999"/>
    <m/>
    <m/>
    <m/>
    <x v="137"/>
    <n v="275"/>
    <n v="275"/>
    <n v="12"/>
    <d v="2022-03-02T00:00:00"/>
    <d v="2024-09-02T00:00:00"/>
    <m/>
    <m/>
    <m/>
    <d v="2023-09-02T00:00:00"/>
    <n v="43638544"/>
    <s v="доп.согл. № 5 к_x000a_ДПГ-21-02-001/062  17.05.2021"/>
    <m/>
    <s v="Уринбасарова М."/>
    <n v="74"/>
    <m/>
    <m/>
    <m/>
    <m/>
    <x v="0"/>
  </r>
  <r>
    <n v="153"/>
    <s v="МЖК Khanzada "/>
    <d v="2022-04-28T00:00:00"/>
    <x v="3"/>
    <s v="ТОО &quot;Композит-7&quot;"/>
    <s v="050640012251"/>
    <s v="ТОО &quot;Bereke Development Group&quot; "/>
    <s v="201240012064"/>
    <n v="4953472942"/>
    <n v="11900.4"/>
    <m/>
    <m/>
    <m/>
    <x v="138"/>
    <n v="63"/>
    <n v="79"/>
    <n v="10"/>
    <d v="2022-02-10T00:00:00"/>
    <d v="2023-02-10T00:00:00"/>
    <d v="2023-05-10T00:00:00"/>
    <d v="2023-08-10T00:00:00"/>
    <d v="2023-11-10T00:00:00"/>
    <d v="2023-11-03T00:00:00"/>
    <n v="43762129"/>
    <s v="ДПГ-22-13-046/111"/>
    <m/>
    <s v="Исмаков А."/>
    <n v="91"/>
    <m/>
    <m/>
    <m/>
    <m/>
    <x v="0"/>
  </r>
  <r>
    <n v="154"/>
    <s v="МЖК Гранд Виктория"/>
    <d v="2022-06-10T00:00:00"/>
    <x v="0"/>
    <s v="ТОО &quot;Аргон Строй&quot;"/>
    <s v="901040000029"/>
    <s v="ТОО &quot;Bestbuilding&quot;"/>
    <s v="180840025009"/>
    <n v="21841445585"/>
    <n v="114093.4"/>
    <m/>
    <m/>
    <m/>
    <x v="139"/>
    <n v="1040"/>
    <n v="1040"/>
    <n v="9"/>
    <d v="2021-11-26T00:00:00"/>
    <d v="2023-02-26T00:00:00"/>
    <d v="2023-05-26T00:00:00"/>
    <d v="2023-08-26T00:00:00"/>
    <d v="2023-11-26T00:00:00"/>
    <d v="2023-11-20T00:00:00"/>
    <n v="197200827"/>
    <s v="ДПГ-22-01-053/115"/>
    <m/>
    <s v="Аяпова Г."/>
    <n v="71"/>
    <m/>
    <m/>
    <m/>
    <m/>
    <x v="0"/>
  </r>
  <r>
    <n v="155"/>
    <s v="ЖК Шахар Сити, 2 очередь "/>
    <d v="2022-06-10T00:00:00"/>
    <x v="1"/>
    <s v="ТОО &quot;Exclusive Construction (Эксклюзив Констракшн)&quot;"/>
    <s v="051040013647"/>
    <s v="ТОО &quot;Exclusive Северное Кольцо&quot;"/>
    <s v="200740008567"/>
    <n v="3490772674"/>
    <n v="15830.1"/>
    <m/>
    <m/>
    <m/>
    <x v="140"/>
    <n v="194"/>
    <n v="194"/>
    <n v="9"/>
    <d v="2022-04-05T00:00:00"/>
    <d v="2023-02-05T00:00:00"/>
    <d v="2023-05-05T00:00:00"/>
    <d v="2023-08-05T00:00:00"/>
    <d v="2023-11-05T00:00:00"/>
    <d v="2023-10-20T00:00:00"/>
    <n v="34907727"/>
    <s v="ДПГ-21-02-011/071"/>
    <m/>
    <s v="Алимжанова Д."/>
    <n v="86"/>
    <m/>
    <m/>
    <m/>
    <m/>
    <x v="0"/>
  </r>
  <r>
    <n v="156"/>
    <s v="МЖК Достар, пятно 13"/>
    <d v="2022-05-20T00:00:00"/>
    <x v="4"/>
    <s v="ТОО &quot;Элитстрой Алматы&quot;"/>
    <s v="021140017787"/>
    <s v="ТОО &quot;Уполномоченная компания&quot;Достар&quot;"/>
    <s v="201040010143"/>
    <n v="3177473358"/>
    <n v="17698.62"/>
    <m/>
    <m/>
    <m/>
    <x v="141"/>
    <n v="233"/>
    <n v="251"/>
    <n v="9"/>
    <d v="2022-04-06T00:00:00"/>
    <d v="2023-03-06T00:00:00"/>
    <d v="2023-06-06T00:00:00"/>
    <d v="2023-09-06T00:00:00"/>
    <d v="2023-12-06T00:00:00"/>
    <d v="2023-11-29T00:00:00"/>
    <n v="27799968"/>
    <s v="ДПГ-22-05-051/112"/>
    <m/>
    <s v="Алимжанова Д."/>
    <n v="84"/>
    <m/>
    <m/>
    <m/>
    <m/>
    <x v="0"/>
  </r>
  <r>
    <n v="157"/>
    <s v="МЖК Auezov City 4 очередь, пятна 8,9,10"/>
    <d v="2022-11-15T00:00:00"/>
    <x v="1"/>
    <s v="ТОО &quot;BAZIS-A Corp.&quot;"/>
    <n v="960340000376"/>
    <s v="ТОО &quot;Familia House&quot;"/>
    <s v="200940032606"/>
    <n v="4381913280"/>
    <n v="17222.8"/>
    <m/>
    <m/>
    <m/>
    <x v="142"/>
    <n v="264"/>
    <n v="264"/>
    <n v="12"/>
    <d v="2022-10-11T00:00:00"/>
    <d v="2025-04-11T00:00:00"/>
    <m/>
    <m/>
    <m/>
    <d v="2023-11-30T00:00:00"/>
    <n v="43387619"/>
    <s v="доп.согл.№ 7 к _x000a_ДПГ-21-02-001/062 от 17.05.2021"/>
    <m/>
    <s v="Уринбасарова М. "/>
    <n v="85"/>
    <m/>
    <m/>
    <m/>
    <m/>
    <x v="0"/>
  </r>
  <r>
    <n v="158"/>
    <s v="МЖК Австрийский квартал, 2 очередь, блоки 4 и 11"/>
    <d v="2021-11-02T00:00:00"/>
    <x v="0"/>
    <s v="ТОО &quot;BAZIS-A Corp.&quot; "/>
    <n v="960340000376"/>
    <s v="ТОО &quot;Восточный квартал&quot;"/>
    <s v="190440041404"/>
    <n v="2164807770"/>
    <n v="10312.19"/>
    <m/>
    <m/>
    <m/>
    <x v="143"/>
    <n v="108"/>
    <n v="108"/>
    <n v="10"/>
    <d v="2021-09-07T00:00:00"/>
    <d v="2023-10-09T00:00:00"/>
    <d v="2024-01-09T00:00:00"/>
    <m/>
    <m/>
    <d v="2023-12-11T00:00:00"/>
    <n v="21145928"/>
    <s v="доп.согл. № 2 к _x000a_ДПГ-21-01-001/058 09.04.2021"/>
    <n v="1766621826"/>
    <s v="Аяпова Г."/>
    <n v="74"/>
    <m/>
    <m/>
    <m/>
    <m/>
    <x v="0"/>
  </r>
  <r>
    <n v="159"/>
    <s v="МЖК Престиж, 2 очередь"/>
    <d v="2023-03-30T00:00:00"/>
    <x v="3"/>
    <s v="ТОО &quot;Композит-7&quot;"/>
    <s v="050640012251"/>
    <s v="ТОО &quot;Dostyq Invest Group&quot;"/>
    <s v="190140008530"/>
    <n v="4285521044"/>
    <n v="14689.76"/>
    <m/>
    <m/>
    <m/>
    <x v="144"/>
    <n v="120"/>
    <n v="120"/>
    <n v="5"/>
    <d v="2022-09-08T00:00:00"/>
    <d v="2023-07-08T00:00:00"/>
    <d v="2023-10-08T00:00:00"/>
    <d v="2024-01-08T00:00:00"/>
    <m/>
    <d v="2023-12-26T00:00:00"/>
    <n v="24302624"/>
    <s v="ДПГ-23-13-046/135"/>
    <m/>
    <s v="Исмаков А."/>
    <n v="93"/>
    <m/>
    <m/>
    <m/>
    <m/>
    <x v="0"/>
  </r>
  <r>
    <n v="160"/>
    <s v="МЖК EXCLUSIVE DUET"/>
    <d v="2021-10-14T00:00:00"/>
    <x v="1"/>
    <s v="ТОО &quot;Exclusive Construction (Эксклюзив Констракшн)&quot;"/>
    <s v="051040013647"/>
    <s v="ТОО &quot;Eco Towers&quot;"/>
    <s v="210740019900"/>
    <n v="4541697006"/>
    <n v="18802"/>
    <m/>
    <m/>
    <m/>
    <x v="126"/>
    <n v="132"/>
    <n v="132"/>
    <n v="12"/>
    <d v="2021-07-30T00:00:00"/>
    <d v="2023-03-01T00:00:00"/>
    <d v="2023-06-01T00:00:00"/>
    <d v="2023-09-01T00:00:00"/>
    <d v="2023-12-01T00:00:00"/>
    <d v="2023-11-30T00:00:00"/>
    <n v="45416970"/>
    <s v="ДПГ-21-02-011/091"/>
    <m/>
    <s v="Жакыпбеков А."/>
    <n v="93"/>
    <m/>
    <m/>
    <m/>
    <m/>
    <x v="0"/>
  </r>
  <r>
    <n v="161"/>
    <s v="МЖК Monaco пятно 5"/>
    <d v="2022-12-13T00:00:00"/>
    <x v="0"/>
    <s v="ТОО &quot;BAZIS-A Corp.&quot;"/>
    <n v="960340000376"/>
    <s v="ТОО &quot;Euro City-1&quot;"/>
    <s v="190440041434"/>
    <n v="3784768129"/>
    <n v="16117.54"/>
    <m/>
    <m/>
    <m/>
    <x v="145"/>
    <n v="118"/>
    <n v="118"/>
    <s v="12, 14"/>
    <d v="2022-09-15T00:00:00"/>
    <d v="2024-06-15T00:00:00"/>
    <m/>
    <m/>
    <m/>
    <d v="2023-12-20T00:00:00"/>
    <n v="31719713"/>
    <s v="доп.согл.№ 8 к _x000a_ДПГ-21-01-001/054 от 30.03.2021"/>
    <m/>
    <s v="Жакыпбеков А."/>
    <n v="85"/>
    <m/>
    <m/>
    <m/>
    <m/>
    <x v="0"/>
  </r>
  <r>
    <m/>
    <s v="МЖК Аккент блоки 1-13 (дом 62)"/>
    <d v="2021-11-04T00:00:00"/>
    <x v="1"/>
    <s v="ТОО &quot;Ayt Housing Complex&quot; _x000a_(Айт Хаузинг Комплекс)"/>
    <s v="040340000999"/>
    <s v="ТОО &quot;Айт Құрылыс Сауда&quot;"/>
    <s v="030840000638"/>
    <m/>
    <n v="7512.7"/>
    <m/>
    <m/>
    <m/>
    <x v="146"/>
    <n v="94"/>
    <n v="99"/>
    <n v="9"/>
    <d v="2021-07-14T00:00:00"/>
    <d v="2021-11-30T00:00:00"/>
    <m/>
    <m/>
    <m/>
    <d v="2021-11-30T00:00:00"/>
    <m/>
    <s v="ДПГ-21-02-041/094"/>
    <m/>
    <s v="Арыстанбекова А."/>
    <n v="83"/>
    <m/>
    <m/>
    <m/>
    <m/>
    <x v="0"/>
  </r>
  <r>
    <m/>
    <s v="МЖК Аккент блоки 1-13 (дом 63-65)"/>
    <d v="2021-11-04T00:00:00"/>
    <x v="1"/>
    <s v="ТОО &quot;Ayt Housing Complex&quot; _x000a_(Айт Хаузинг Комплекс)"/>
    <s v="040340000999"/>
    <s v="ТОО &quot;Айт Құрылыс Сауда&quot;"/>
    <s v="030840000638"/>
    <m/>
    <n v="17704.599999999999"/>
    <m/>
    <m/>
    <m/>
    <x v="146"/>
    <n v="282"/>
    <n v="282"/>
    <n v="9"/>
    <d v="2021-07-14T00:00:00"/>
    <d v="2022-09-09T00:00:00"/>
    <m/>
    <m/>
    <m/>
    <d v="2022-09-09T00:00:00"/>
    <m/>
    <s v="ДПГ-21-02-041/094"/>
    <m/>
    <s v="Арыстанбекова А."/>
    <n v="83"/>
    <m/>
    <m/>
    <m/>
    <m/>
    <x v="0"/>
  </r>
  <r>
    <m/>
    <s v="МЖК Аккент блоки 1-13 (дом 66-71)"/>
    <d v="2021-11-04T00:00:00"/>
    <x v="1"/>
    <s v="ТОО &quot;Ayt Housing Complex&quot; _x000a_(Айт Хаузинг Комплекс)"/>
    <s v="040340000999"/>
    <s v="ТОО &quot;Айт Құрылыс Сауда&quot;"/>
    <s v="030840000638"/>
    <m/>
    <n v="38111.4"/>
    <m/>
    <m/>
    <m/>
    <x v="146"/>
    <n v="564"/>
    <n v="564"/>
    <n v="9"/>
    <d v="2021-07-14T00:00:00"/>
    <d v="2023-11-29T00:00:00"/>
    <m/>
    <m/>
    <m/>
    <d v="2023-11-29T00:00:00"/>
    <m/>
    <s v="ДПГ-21-02-041/094"/>
    <m/>
    <s v="Арыстанбекова А."/>
    <n v="83"/>
    <m/>
    <m/>
    <m/>
    <m/>
    <x v="0"/>
  </r>
  <r>
    <n v="162"/>
    <s v="МЖК Modern City"/>
    <d v="2022-01-27T00:00:00"/>
    <x v="3"/>
    <s v="ТОО &quot;Оңтүстік құрылыс Сервис&quot;"/>
    <s v="010340004024"/>
    <s v="ТОО &quot;OKS-Shymcity&quot;"/>
    <s v="201140025012"/>
    <n v="9298035436"/>
    <n v="30052.3"/>
    <m/>
    <m/>
    <m/>
    <x v="121"/>
    <n v="280"/>
    <n v="274"/>
    <n v="9"/>
    <d v="2021-12-21T00:00:00"/>
    <d v="2023-05-21T00:00:00"/>
    <d v="2023-08-21T00:00:00"/>
    <d v="2023-11-21T00:00:00"/>
    <d v="2024-02-21T00:00:00"/>
    <d v="2024-02-16T00:00:00"/>
    <n v="92980354"/>
    <s v="ДПГ-22-013-004/106"/>
    <m/>
    <s v="Исмаков А."/>
    <n v="88"/>
    <m/>
    <m/>
    <m/>
    <m/>
    <x v="0"/>
  </r>
  <r>
    <n v="163"/>
    <s v="МЖК Арлын оч.3"/>
    <d v="2023-02-21T00:00:00"/>
    <x v="11"/>
    <s v="ТОО &quot;Atamura Group&quot;"/>
    <s v="080440009616"/>
    <s v="ТОО &quot;Arlyn&quot;"/>
    <s v="220240012421"/>
    <n v="1082543056"/>
    <n v="4089.3"/>
    <m/>
    <m/>
    <m/>
    <x v="147"/>
    <n v="58"/>
    <n v="58"/>
    <n v="5"/>
    <d v="2022-11-01T00:00:00"/>
    <d v="2023-09-01T00:00:00"/>
    <d v="2023-12-01T00:00:00"/>
    <m/>
    <m/>
    <d v="2023-10-30T00:00:00"/>
    <n v="46686917"/>
    <s v="ДПГ-23-05-052/133"/>
    <m/>
    <s v="Нурбаев Н."/>
    <n v="93"/>
    <m/>
    <m/>
    <m/>
    <m/>
    <x v="0"/>
  </r>
  <r>
    <n v="164"/>
    <s v="МЖК Отырар"/>
    <d v="2022-12-13T00:00:00"/>
    <x v="3"/>
    <s v="ТОО &quot;Kanfar Building&quot;"/>
    <s v="060340004172"/>
    <s v="ТОО &quot;OTYRAR SATU&quot;"/>
    <s v="210940021028"/>
    <n v="2088288586"/>
    <n v="7695.6"/>
    <m/>
    <m/>
    <m/>
    <x v="148"/>
    <n v="42"/>
    <n v="42"/>
    <n v="8"/>
    <d v="2022-11-07T00:00:00"/>
    <d v="2023-08-07T00:00:00"/>
    <d v="2023-11-07T00:00:00"/>
    <d v="2024-02-07T00:00:00"/>
    <m/>
    <d v="2024-01-24T00:00:00"/>
    <n v="18802318.609999999"/>
    <s v="ДПГ-22-13-050/126"/>
    <m/>
    <s v="Башеева Ж."/>
    <n v="70"/>
    <m/>
    <m/>
    <m/>
    <m/>
    <x v="0"/>
  </r>
  <r>
    <m/>
    <s v="МЖК Life Town, 1 очередь, 2 пусковой"/>
    <d v="2021-09-16T00:00:00"/>
    <x v="1"/>
    <s v="ТОО &quot;Garant stroy&quot; "/>
    <s v="170140020417"/>
    <s v=" ТОО &quot;Life Town&quot;"/>
    <s v="210440020458"/>
    <n v="5388524240"/>
    <n v="20406.78"/>
    <m/>
    <m/>
    <m/>
    <x v="123"/>
    <n v="206"/>
    <n v="206"/>
    <n v="12"/>
    <d v="2022-07-01T00:00:00"/>
    <d v="2024-08-01T00:00:00"/>
    <m/>
    <m/>
    <m/>
    <d v="2024-02-12T00:00:00"/>
    <n v="133097925"/>
    <s v="ДПГ-21-02-025/073"/>
    <m/>
    <s v="Аяпова Г."/>
    <n v="92"/>
    <m/>
    <m/>
    <m/>
    <m/>
    <x v="0"/>
  </r>
  <r>
    <m/>
    <s v="Увеличение стоимости _x000a_МЖК Life Town 1 очередь, 2 пусковой"/>
    <d v="2023-01-31T00:00:00"/>
    <x v="1"/>
    <s v="ТОО &quot;Garant stroy&quot; "/>
    <s v="170140020417"/>
    <s v=" ТОО &quot;Life Town&quot;"/>
    <s v="210440020458"/>
    <n v="1411872653"/>
    <n v="0"/>
    <m/>
    <m/>
    <m/>
    <x v="149"/>
    <m/>
    <n v="0"/>
    <n v="0"/>
    <d v="2022-07-01T00:00:00"/>
    <d v="2024-08-01T00:00:00"/>
    <m/>
    <m/>
    <m/>
    <d v="2024-02-12T00:00:00"/>
    <n v="14118727"/>
    <s v="доп.согл.№ 2 к _x000a_ДПГ-21-02-025/073 от 24.09.2021"/>
    <m/>
    <s v="Аяпова Г."/>
    <n v="92"/>
    <m/>
    <m/>
    <m/>
    <m/>
    <x v="0"/>
  </r>
  <r>
    <n v="165"/>
    <s v="МЖК Атамура"/>
    <d v="2022-07-07T00:00:00"/>
    <x v="0"/>
    <s v="ТОО &quot;Жетісу ЖҚ&quot;"/>
    <s v="031240005283"/>
    <s v="ТОО &quot;Горде&quot;"/>
    <s v="120540000160"/>
    <n v="6103216757"/>
    <n v="21572.37"/>
    <m/>
    <m/>
    <m/>
    <x v="111"/>
    <n v="300"/>
    <n v="300"/>
    <s v="9,12,17"/>
    <d v="2022-04-15T00:00:00"/>
    <d v="2023-05-15T00:00:00"/>
    <d v="2023-08-15T00:00:00"/>
    <d v="2023-11-15T00:00:00"/>
    <d v="2024-02-15T00:00:00"/>
    <d v="2024-02-13T00:00:00"/>
    <n v="47640147"/>
    <s v="ДПГ-22-01-024/116"/>
    <m/>
    <s v="Нурбаев Н."/>
    <n v="72"/>
    <m/>
    <m/>
    <m/>
    <m/>
    <x v="0"/>
  </r>
  <r>
    <n v="166"/>
    <s v="МЖК Landmark, 4 очередь, пятна 1, 2, 3, 4  "/>
    <d v="2022-06-10T00:00:00"/>
    <x v="0"/>
    <s v="ТОО &quot;BAZIS-A Corp.&quot;"/>
    <n v="960340000376"/>
    <s v="ТОО &quot;Dostyk Land&quot;"/>
    <s v="190240034484"/>
    <n v="5572491510"/>
    <n v="28746.6"/>
    <m/>
    <m/>
    <m/>
    <x v="150"/>
    <n v="244"/>
    <n v="244"/>
    <s v="1, 14, 18"/>
    <d v="2022-01-21T00:00:00"/>
    <d v="2023-12-21T00:00:00"/>
    <d v="2024-03-21T00:00:00"/>
    <m/>
    <m/>
    <d v="2024-03-19T00:00:00"/>
    <n v="55468877"/>
    <s v="доп.согл.№ 7 к _x000a_ДПГ-20-01-001/037 28.02.2020"/>
    <m/>
    <s v="Алимжанова Д. "/>
    <n v="74"/>
    <m/>
    <m/>
    <m/>
    <m/>
    <x v="0"/>
  </r>
  <r>
    <n v="167"/>
    <s v="МЖК  Altyn City 3"/>
    <d v="2022-07-19T00:00:00"/>
    <x v="1"/>
    <s v="ТОО &quot;Exclusive Construction (Эксклюзив Констракшн)&quot;"/>
    <s v="051040013647"/>
    <s v="ТОО &quot;АЛТЫН СИТИ 3&quot;"/>
    <s v="220540012145"/>
    <n v="3685655518"/>
    <n v="12908"/>
    <m/>
    <m/>
    <m/>
    <x v="151"/>
    <n v="143"/>
    <n v="143"/>
    <n v="7.9"/>
    <d v="2022-06-22T00:00:00"/>
    <d v="2023-04-22T00:00:00"/>
    <d v="2023-07-22T00:00:00"/>
    <d v="2023-10-22T00:00:00"/>
    <d v="2024-01-22T00:00:00"/>
    <d v="2024-01-10T00:00:00"/>
    <s v="36 856 555 "/>
    <s v="ДПГ-22-02-011/119"/>
    <m/>
    <s v="Алимжанова Д."/>
    <n v="86"/>
    <m/>
    <m/>
    <m/>
    <m/>
    <x v="0"/>
  </r>
  <r>
    <n v="168"/>
    <s v="МЖК Восточный квартал, блоки 8,10"/>
    <d v="2022-11-29T00:00:00"/>
    <x v="0"/>
    <s v="ТОО &quot;BAZIS-A Corp.&quot;"/>
    <n v="960340000376"/>
    <s v="ТОО &quot;Восточный квартал&quot;"/>
    <s v="190440041404"/>
    <n v="2199757682"/>
    <n v="9055.4"/>
    <m/>
    <m/>
    <m/>
    <x v="152"/>
    <n v="89"/>
    <n v="89"/>
    <n v="8.1"/>
    <d v="2022-10-18T00:00:00"/>
    <d v="2023-11-18T00:00:00"/>
    <d v="2024-02-18T00:00:00"/>
    <d v="2024-05-18T00:00:00"/>
    <m/>
    <d v="2024-05-16T00:00:00"/>
    <n v="19820402"/>
    <s v="доп.согл.№ 5 к _x000a_ДПГ-21-01-001/058 от 09.04.2021"/>
    <m/>
    <s v="Аяпова Г."/>
    <n v="85"/>
    <m/>
    <m/>
    <m/>
    <m/>
    <x v="0"/>
  </r>
  <r>
    <n v="169"/>
    <s v="МЖК MoD, 1-1 очередь"/>
    <d v="2023-06-06T00:00:00"/>
    <x v="0"/>
    <s v="ТОО &quot;Nova City Development&quot;"/>
    <s v="110540015593"/>
    <s v="ТОО &quot;Senim NC&quot;"/>
    <s v="210840011146"/>
    <n v="8484559525"/>
    <n v="22720.11"/>
    <m/>
    <m/>
    <m/>
    <x v="153"/>
    <n v="405"/>
    <n v="405"/>
    <n v="17"/>
    <d v="2023-04-25T00:00:00"/>
    <d v="2024-01-25T00:00:00"/>
    <d v="2024-04-25T00:00:00"/>
    <m/>
    <m/>
    <d v="2024-04-01T00:00:00"/>
    <n v="84145617"/>
    <s v="ДПГ-23-01-008/145"/>
    <m/>
    <s v="Арыстанбекова А."/>
    <n v="92"/>
    <m/>
    <m/>
    <m/>
    <m/>
    <x v="0"/>
  </r>
  <r>
    <n v="170"/>
    <s v="МЖК Бағыстан позиция №12"/>
    <d v="2022-11-08T00:00:00"/>
    <x v="0"/>
    <s v="ТОО &quot;Аргон Строй&quot;"/>
    <s v="901040000029"/>
    <s v="ТОО &quot;BESTLIFE SOLUTIONS&quot;"/>
    <s v="210640014956"/>
    <n v="4938141318"/>
    <n v="12617.66"/>
    <m/>
    <m/>
    <m/>
    <x v="154"/>
    <n v="142"/>
    <n v="142"/>
    <s v="5,7,9"/>
    <d v="2022-08-26T00:00:00"/>
    <d v="2024-05-26T00:00:00"/>
    <d v="2023-11-26T00:00:00"/>
    <d v="2024-02-26T00:00:00"/>
    <d v="2024-05-26T00:00:00"/>
    <d v="2024-05-16T00:00:00"/>
    <n v="45788786"/>
    <s v="ДПГ-22-01-053/125"/>
    <m/>
    <s v="Аяпова Г."/>
    <n v="69"/>
    <m/>
    <m/>
    <m/>
    <m/>
    <x v="0"/>
  </r>
  <r>
    <n v="171"/>
    <s v="МЖК Аккент блоки 1-13"/>
    <d v="2021-11-04T00:00:00"/>
    <x v="1"/>
    <s v="ТОО &quot;Ayt Housing Complex&quot; _x000a_(Айт Хаузинг Комплекс)"/>
    <s v="040340000999"/>
    <s v="ТОО &quot;Айт Құрылыс Сауда&quot;"/>
    <s v="030840000638"/>
    <n v="17883890008"/>
    <n v="11962.8"/>
    <m/>
    <m/>
    <m/>
    <x v="146"/>
    <n v="282"/>
    <n v="282"/>
    <n v="9"/>
    <d v="2021-07-14T00:00:00"/>
    <d v="2024-07-14T00:00:00"/>
    <m/>
    <m/>
    <m/>
    <d v="2024-04-10T00:00:00"/>
    <n v="157697987"/>
    <s v="ДПГ-21-02-041/094"/>
    <m/>
    <s v="Арыстанбекова А."/>
    <n v="83"/>
    <m/>
    <m/>
    <m/>
    <m/>
    <x v="0"/>
  </r>
  <r>
    <n v="172"/>
    <s v="МЖК Prestige City, 4 квартал, 1 оч."/>
    <d v="2022-10-18T00:00:00"/>
    <x v="3"/>
    <s v="ТОО &quot;DAMDES ҚҰРЫЛЫС INVEST&quot;"/>
    <s v="961240027773"/>
    <s v="ТОО &quot;ER-DAM INVESTMENT GROUP&quot;"/>
    <s v="090940015908"/>
    <n v="3621118753"/>
    <n v="12822.12"/>
    <m/>
    <m/>
    <m/>
    <x v="155"/>
    <n v="104"/>
    <n v="104"/>
    <n v="12"/>
    <d v="2022-10-03T00:00:00"/>
    <d v="2023-08-03T00:00:00"/>
    <d v="2023-11-03T00:00:00"/>
    <d v="2024-02-03T00:00:00"/>
    <d v="2024-05-03T00:00:00"/>
    <d v="2024-04-24T00:00:00"/>
    <n v="49896984"/>
    <s v="ДПГ-22-13-058/124"/>
    <m/>
    <s v="Исмаков А."/>
    <n v="72"/>
    <m/>
    <m/>
    <m/>
    <m/>
    <x v="0"/>
  </r>
  <r>
    <m/>
    <s v="Уменьшение стоимости                                            МЖК Prestige City, 4 квартал, 1 оч. "/>
    <d v="2024-01-09T00:00:00"/>
    <x v="3"/>
    <s v="ТОО &quot;DAMDES ҚҰРЫЛЫС INVEST&quot;"/>
    <s v="961240027773"/>
    <s v="ТОО &quot;ER-DAM INVESTMENT GROUP&quot;"/>
    <s v="090940015908"/>
    <n v="2042198677"/>
    <n v="12822.1"/>
    <m/>
    <m/>
    <m/>
    <x v="155"/>
    <n v="104"/>
    <n v="104"/>
    <m/>
    <m/>
    <m/>
    <m/>
    <m/>
    <m/>
    <d v="2024-04-24T00:00:00"/>
    <m/>
    <s v="ДС №3 от 15.01.24г к ДПГ-22-13-058/124 от 01.11.22г"/>
    <m/>
    <s v="Исмаков А."/>
    <m/>
    <m/>
    <m/>
    <m/>
    <m/>
    <x v="0"/>
  </r>
  <r>
    <n v="173"/>
    <s v="МЖК Asar house Plus"/>
    <d v="2023-10-10T00:00:00"/>
    <x v="3"/>
    <s v="ТОО &quot;Композит-7&quot;"/>
    <s v="050640012251"/>
    <s v="ТОО &quot;ASAR HOUSE&quot;"/>
    <s v="210740014236"/>
    <n v="2860595380"/>
    <n v="9723.6"/>
    <m/>
    <m/>
    <m/>
    <x v="156"/>
    <n v="130"/>
    <n v="130"/>
    <n v="5"/>
    <d v="2023-08-07T00:00:00"/>
    <d v="2024-06-07T00:00:00"/>
    <m/>
    <m/>
    <m/>
    <d v="2024-05-30T00:00:00"/>
    <n v="21906484"/>
    <s v="ДПГ-23-17-046/156"/>
    <m/>
    <s v="Исмаков А."/>
    <n v="84"/>
    <m/>
    <m/>
    <m/>
    <m/>
    <x v="0"/>
  </r>
  <r>
    <n v="174"/>
    <s v="МЖК Кристалл "/>
    <d v="2022-03-03T00:00:00"/>
    <x v="1"/>
    <s v="ТОО &quot;Елимай-Invest&quot;"/>
    <s v="160640016168"/>
    <s v="ТОО &quot;ЖК &quot;Кристалл&quot;"/>
    <s v="211140016647"/>
    <n v="15001173485"/>
    <n v="137578.6"/>
    <m/>
    <m/>
    <m/>
    <x v="157"/>
    <n v="1388"/>
    <n v="1464"/>
    <s v="2, 20"/>
    <d v="2022-01-14T00:00:00"/>
    <d v="2024-09-14T00:00:00"/>
    <m/>
    <m/>
    <m/>
    <d v="2024-03-29T00:00:00"/>
    <n v="150011735"/>
    <s v="ДПГ-22-02-020/108"/>
    <m/>
    <s v="Башеева Ж."/>
    <n v="68"/>
    <m/>
    <m/>
    <m/>
    <m/>
    <x v="0"/>
  </r>
  <r>
    <m/>
    <s v="МЖК Elorda residensе (пятно 4"/>
    <d v="2021-11-02T00:00:00"/>
    <x v="5"/>
    <s v="ТОО &quot;Атырау ЖБИ 2005&quot;"/>
    <s v="050140015456"/>
    <s v="ТОО &quot;MBS Capital&quot;"/>
    <s v="200340025601"/>
    <n v="2382516293"/>
    <n v="8613.73"/>
    <m/>
    <m/>
    <m/>
    <x v="114"/>
    <n v="48"/>
    <n v="48"/>
    <n v="9"/>
    <d v="2021-02-17T00:00:00"/>
    <d v="2022-09-01T00:00:00"/>
    <d v="2022-12-01T00:00:00"/>
    <d v="2023-03-01T00:00:00"/>
    <d v="2023-06-01T00:00:00"/>
    <d v="2024-05-17T00:00:00"/>
    <m/>
    <s v="ДПГ-21-06-042/095"/>
    <m/>
    <s v="Кенесов М."/>
    <n v="84"/>
    <m/>
    <m/>
    <m/>
    <m/>
    <x v="0"/>
  </r>
  <r>
    <n v="175"/>
    <s v="МЖК Кomfort Life"/>
    <d v="2023-06-13T00:00:00"/>
    <x v="9"/>
    <s v="ТОО &quot;Эдельвейс&quot;"/>
    <s v="981040003722"/>
    <s v="ТОО &quot;НОВОСТРОЙ-АКТОБЕ&quot;"/>
    <s v="210940016011"/>
    <n v="1226556104"/>
    <n v="6698.3"/>
    <m/>
    <m/>
    <m/>
    <x v="158"/>
    <n v="60"/>
    <n v="58"/>
    <n v="5"/>
    <d v="2022-10-21T00:00:00"/>
    <d v="2023-12-21T00:00:00"/>
    <d v="2024-03-21T00:00:00"/>
    <d v="2024-06-21T00:00:00"/>
    <m/>
    <d v="2024-06-18T00:00:00"/>
    <n v="10420227"/>
    <s v="ДПГ-23-04-063/144"/>
    <m/>
    <s v="Жусанова Т. "/>
    <n v="86"/>
    <m/>
    <m/>
    <m/>
    <m/>
    <x v="0"/>
  </r>
  <r>
    <n v="176"/>
    <s v="МЖК Arena City 1"/>
    <d v="2023-06-06T00:00:00"/>
    <x v="0"/>
    <s v="ТОО &quot;Nova City Development&quot;"/>
    <s v="110540015593"/>
    <s v="ТОО &quot;Тенгри Хаус Астана&quot;"/>
    <s v="130340016121"/>
    <n v="6705420003"/>
    <n v="24819.83"/>
    <m/>
    <m/>
    <m/>
    <x v="153"/>
    <n v="319"/>
    <n v="319"/>
    <n v="9"/>
    <d v="2023-01-13T00:00:00"/>
    <d v="2023-12-13T00:00:00"/>
    <d v="2024-03-13T00:00:00"/>
    <d v="2024-06-13T00:00:00"/>
    <d v="2024-09-13T00:00:00"/>
    <d v="2024-07-03T00:00:00"/>
    <n v="67054200"/>
    <s v="ДПГ-23-01-008/143"/>
    <m/>
    <s v="Башеева Ж."/>
    <n v="92"/>
    <m/>
    <m/>
    <m/>
    <m/>
    <x v="0"/>
  </r>
  <r>
    <n v="177"/>
    <s v="МЖК Достык в г.Уральск "/>
    <d v="2023-04-18T00:00:00"/>
    <x v="2"/>
    <s v="ТОО &quot;ALEM GROUP KAZAKHSTAN&quot;"/>
    <s v="100240000106"/>
    <s v="ТОО &quot;ATM GROUP KAZAKHSTAN&quot;"/>
    <s v="160340011403"/>
    <n v="2625205150"/>
    <n v="14521.36"/>
    <m/>
    <m/>
    <m/>
    <x v="159"/>
    <n v="136"/>
    <n v="136"/>
    <n v="9"/>
    <d v="2022-12-19T00:00:00"/>
    <d v="2023-10-03T00:00:00"/>
    <d v="2024-01-03T00:00:00"/>
    <d v="2024-04-03T00:00:00"/>
    <s v="03.07.2024/ продлен по ЧС 31.07.2024г"/>
    <d v="2024-07-01T00:00:00"/>
    <n v="24157502"/>
    <s v="ДПГ-23-07-061/139"/>
    <m/>
    <s v="Жакыпбеков А."/>
    <n v="60"/>
    <m/>
    <m/>
    <m/>
    <m/>
    <x v="0"/>
  </r>
  <r>
    <n v="178"/>
    <s v="МЖК Арлын оч.4 "/>
    <d v="2023-06-06T00:00:00"/>
    <x v="11"/>
    <s v="ТОО &quot;Atamura Group&quot;"/>
    <s v="080440009616"/>
    <s v="ТОО &quot;Arlyn&quot;"/>
    <s v="220240012421"/>
    <n v="1084238076"/>
    <n v="4352.5"/>
    <m/>
    <m/>
    <m/>
    <x v="160"/>
    <n v="58"/>
    <n v="58"/>
    <n v="5"/>
    <d v="2023-04-06T00:00:00"/>
    <d v="2024-01-06T00:00:00"/>
    <d v="2024-04-06T00:00:00"/>
    <m/>
    <m/>
    <d v="2024-03-27T00:00:00"/>
    <n v="8564559"/>
    <s v="ДС №1 к ДПГ-23-05-052/133 от 14.03.23"/>
    <m/>
    <s v="Нурбаев Н."/>
    <n v="75"/>
    <m/>
    <m/>
    <m/>
    <m/>
    <x v="0"/>
  </r>
  <r>
    <n v="179"/>
    <s v="МЖК MoD, 1-2 очередь"/>
    <d v="2023-09-19T00:00:00"/>
    <x v="0"/>
    <s v="ТОО &quot;Nova City Development&quot;"/>
    <s v="110540015593"/>
    <s v="ТОО &quot;Senim NC&quot;"/>
    <s v="210840011146"/>
    <n v="7244730899"/>
    <n v="16162.59"/>
    <m/>
    <m/>
    <m/>
    <x v="161"/>
    <n v="257"/>
    <n v="257"/>
    <s v="9,12,17"/>
    <d v="2023-06-02T00:00:00"/>
    <d v="2024-07-02T00:00:00"/>
    <d v="2024-10-02T00:00:00"/>
    <m/>
    <m/>
    <d v="2024-07-19T00:00:00"/>
    <n v="71938878"/>
    <s v="ДС №1 к ДПГ-23-01-008/145 от 26.06.2023"/>
    <m/>
    <s v="Арыстанбекова А."/>
    <n v="82"/>
    <m/>
    <m/>
    <m/>
    <m/>
    <x v="0"/>
  </r>
  <r>
    <n v="180"/>
    <s v="МЖК MoD, 1-3 очередь"/>
    <d v="2024-04-16T00:00:00"/>
    <x v="0"/>
    <s v="ТОО &quot;Nova City Development&quot;"/>
    <s v="110540015593"/>
    <s v="ТОО &quot;Senim NC&quot;"/>
    <s v="210840011146"/>
    <n v="2679891550"/>
    <n v="7217.35"/>
    <m/>
    <m/>
    <m/>
    <x v="162"/>
    <n v="106"/>
    <n v="106"/>
    <n v="9"/>
    <d v="2024-03-20T00:00:00"/>
    <d v="2024-10-20T00:00:00"/>
    <m/>
    <m/>
    <m/>
    <d v="2024-07-26T00:00:00"/>
    <n v="26635886"/>
    <s v="ДС №3 к ДПГ-23-01-008/145 от 26.06.2023"/>
    <m/>
    <s v="Арыстанбекова А."/>
    <n v="83"/>
    <m/>
    <m/>
    <m/>
    <m/>
    <x v="0"/>
  </r>
  <r>
    <n v="181"/>
    <s v="МЖК Monaco пятно 6"/>
    <d v="2023-07-04T00:00:00"/>
    <x v="0"/>
    <s v="ТОО &quot;BAZIS-A Corp.&quot;"/>
    <n v="960340000376"/>
    <s v="ТОО &quot;Euro City-1&quot;"/>
    <s v="190440041434"/>
    <n v="3413044920"/>
    <n v="19350.28"/>
    <m/>
    <m/>
    <m/>
    <x v="163"/>
    <n v="141"/>
    <n v="141"/>
    <s v="8,12,14"/>
    <d v="2022-11-03T00:00:00"/>
    <d v="2024-08-03T00:00:00"/>
    <m/>
    <m/>
    <m/>
    <d v="2024-08-01T00:00:00"/>
    <n v="29286365"/>
    <s v="ДС №9 к ДПГ-21-01-001/054 от 30.03.2021"/>
    <m/>
    <s v="Жакыпбеков А."/>
    <n v="87"/>
    <m/>
    <m/>
    <m/>
    <m/>
    <x v="0"/>
  </r>
  <r>
    <n v="182"/>
    <s v="МЖК Elorda residensе (пятно 2)"/>
    <d v="2021-11-02T00:00:00"/>
    <x v="5"/>
    <s v="ТОО &quot;Атырау ЖБИ 2005&quot;"/>
    <s v="050140015456"/>
    <s v="ТОО &quot;MBS Capital&quot;"/>
    <s v="200340025601"/>
    <n v="2301419946"/>
    <n v="17227.47"/>
    <m/>
    <m/>
    <m/>
    <x v="114"/>
    <n v="96"/>
    <n v="48"/>
    <n v="9"/>
    <d v="2021-02-17T00:00:00"/>
    <d v="2022-09-01T00:00:00"/>
    <d v="2022-12-01T00:00:00"/>
    <d v="2023-03-01T00:00:00"/>
    <d v="2023-06-01T00:00:00"/>
    <d v="2024-07-30T00:00:00"/>
    <n v="56155552"/>
    <s v="ДПГ-21-06-042/095"/>
    <m/>
    <s v="Кенесов М."/>
    <n v="84"/>
    <m/>
    <m/>
    <m/>
    <m/>
    <x v="0"/>
  </r>
  <r>
    <m/>
    <s v="Увеличение стоимости _x000a_МЖК Elorda residensе "/>
    <d v="2023-02-16T00:00:00"/>
    <x v="5"/>
    <s v="ТОО &quot;Атырау ЖБИ 2005&quot;"/>
    <s v="050140015456"/>
    <s v="ТОО &quot;MBS Capital&quot;"/>
    <s v="200340025601"/>
    <n v="113803898"/>
    <n v="-8613.74"/>
    <m/>
    <m/>
    <m/>
    <x v="164"/>
    <n v="-48"/>
    <m/>
    <n v="0"/>
    <d v="2021-02-17T00:00:00"/>
    <d v="2023-06-01T00:00:00"/>
    <m/>
    <m/>
    <m/>
    <d v="2024-07-30T00:00:00"/>
    <n v="1138037"/>
    <s v="ДС №3 к ДПГ-21-06-042-095 от 26.11.2021"/>
    <m/>
    <s v="Кенесов М."/>
    <n v="84"/>
    <m/>
    <m/>
    <m/>
    <m/>
    <x v="0"/>
  </r>
  <r>
    <n v="183"/>
    <s v="МЖК Туран Сату"/>
    <d v="2023-08-10T00:00:00"/>
    <x v="3"/>
    <s v="ТОО &quot;Kanfar Building&quot;"/>
    <s v="060340004172"/>
    <s v="ТОО &quot;Turan Satu&quot;"/>
    <s v="210940020852"/>
    <n v="2934513361"/>
    <n v="11723"/>
    <m/>
    <m/>
    <m/>
    <x v="165"/>
    <n v="80"/>
    <n v="90"/>
    <n v="9"/>
    <d v="2023-06-12T00:00:00"/>
    <d v="2024-03-12T00:00:00"/>
    <d v="2024-06-12T00:00:00"/>
    <m/>
    <m/>
    <d v="2024-06-11T00:00:00"/>
    <n v="26372811"/>
    <s v="ДПГ-23-13-050/151"/>
    <m/>
    <s v="Аяпова Г."/>
    <n v="70"/>
    <m/>
    <m/>
    <m/>
    <m/>
    <x v="0"/>
  </r>
  <r>
    <n v="184"/>
    <s v="МЖК Бурабай 2"/>
    <d v="2023-01-24T00:00:00"/>
    <x v="0"/>
    <s v="ТОО &quot;АсТи-Строй&quot;"/>
    <s v="030740000258"/>
    <s v="ТОО &quot;АҚ ҚАЙЫҚ&quot;"/>
    <s v="141140022094"/>
    <n v="5499684209"/>
    <n v="27554.55"/>
    <m/>
    <m/>
    <m/>
    <x v="166"/>
    <n v="394"/>
    <n v="394"/>
    <s v="9,12,17"/>
    <d v="2022-11-24T00:00:00"/>
    <d v="2024-05-08T00:00:00"/>
    <m/>
    <m/>
    <m/>
    <d v="2024-05-08T00:00:00"/>
    <n v="46751044"/>
    <s v="ДПГ-23-01-010/130"/>
    <m/>
    <s v="Жусанова Т. "/>
    <n v="73"/>
    <m/>
    <m/>
    <m/>
    <m/>
    <x v="0"/>
  </r>
  <r>
    <n v="185"/>
    <s v="МЖК Городской романс, блоки 5,7"/>
    <d v="2023-05-26T00:00:00"/>
    <x v="0"/>
    <s v="ТОО &quot;BAZIS-A Corp.&quot;"/>
    <n v="960340000376"/>
    <s v="ТОО &quot;Восточный квартал&quot;"/>
    <s v="190440041404"/>
    <n v="2228232541"/>
    <n v="9633.7000000000007"/>
    <m/>
    <m/>
    <m/>
    <x v="167"/>
    <n v="96"/>
    <n v="96"/>
    <s v="8, 10"/>
    <d v="2022-11-03T00:00:00"/>
    <d v="2023-12-03T00:00:00"/>
    <d v="2024-03-03T00:00:00"/>
    <d v="2024-06-03T00:00:00"/>
    <d v="2024-09-03T00:00:00"/>
    <d v="2024-08-13T00:00:00"/>
    <n v="21950725"/>
    <s v="доп.согл.№ 7 к ДПГ-21-01-001/058 от 09.04.21"/>
    <m/>
    <s v="Аяпова Г."/>
    <n v="85"/>
    <m/>
    <m/>
    <m/>
    <m/>
    <x v="0"/>
  </r>
  <r>
    <n v="186"/>
    <s v="МЖК Городской романс, блок 6"/>
    <d v="2023-05-26T00:00:00"/>
    <x v="0"/>
    <s v="ТОО &quot;BAZIS-A Corp.&quot;"/>
    <n v="960340000376"/>
    <s v="ТОО &quot;Восточный квартал&quot;"/>
    <s v="190440041404"/>
    <n v="1057725138"/>
    <n v="5866.6"/>
    <m/>
    <m/>
    <m/>
    <x v="167"/>
    <n v="54"/>
    <n v="54"/>
    <n v="10"/>
    <d v="2023-02-03T00:00:00"/>
    <d v="2024-02-02T00:00:00"/>
    <d v="2024-05-02T00:00:00"/>
    <d v="2024-08-02T00:00:00"/>
    <m/>
    <d v="2024-08-13T00:00:00"/>
    <n v="10429811"/>
    <s v="доп.согл.№ 7 к ДПГ-21-01-001/058 от 09.04.21"/>
    <m/>
    <s v="Аяпова Г."/>
    <n v="85"/>
    <m/>
    <m/>
    <m/>
    <m/>
    <x v="0"/>
  </r>
  <r>
    <n v="187"/>
    <s v="МЖК Городской романс, блок 9"/>
    <d v="2023-05-26T00:00:00"/>
    <x v="0"/>
    <s v="ТОО &quot;BAZIS-A Corp.&quot;"/>
    <n v="960340000376"/>
    <s v="ТОО &quot;Восточный квартал&quot;"/>
    <s v="190440041404"/>
    <n v="1108602580"/>
    <n v="5279"/>
    <m/>
    <m/>
    <m/>
    <x v="167"/>
    <n v="54"/>
    <n v="54"/>
    <n v="10"/>
    <d v="2023-02-07T00:00:00"/>
    <d v="2024-03-07T00:00:00"/>
    <d v="2024-06-07T00:00:00"/>
    <d v="2024-09-07T00:00:00"/>
    <m/>
    <d v="2024-09-03T00:00:00"/>
    <n v="10937285.800000001"/>
    <s v="доп.согл.№ 7 к ДПГ-21-01-001/058 от 09.04.21"/>
    <m/>
    <s v="Аяпова Г."/>
    <n v="85"/>
    <m/>
    <m/>
    <m/>
    <m/>
    <x v="0"/>
  </r>
  <r>
    <n v="188"/>
    <s v="МЖК Gul-Ana 4 очередь, 11 пятно "/>
    <d v="2023-02-02T00:00:00"/>
    <x v="1"/>
    <s v="ТОО &quot;KazSMU&quot;"/>
    <n v="970540007997"/>
    <s v="ТОО &quot;Gul-Ana&quot;"/>
    <n v="111240020442"/>
    <n v="1843376079"/>
    <n v="7489.55"/>
    <m/>
    <m/>
    <m/>
    <x v="164"/>
    <n v="88"/>
    <n v="88"/>
    <n v="12"/>
    <d v="2022-12-28T00:00:00"/>
    <d v="2023-09-28T00:00:00"/>
    <d v="2023-12-28T00:00:00"/>
    <d v="2024-03-28T00:00:00"/>
    <m/>
    <d v="2024-03-28T00:00:00"/>
    <n v="18433761"/>
    <s v="ДПГ-23-02-031/131"/>
    <m/>
    <s v="Кожухова Д.Б./ Смайлова Д.Н."/>
    <n v="68"/>
    <m/>
    <m/>
    <m/>
    <m/>
    <x v="0"/>
  </r>
  <r>
    <n v="1"/>
    <s v="МЖК JM CITY Дом Парк"/>
    <d v="2021-10-28T00:00:00"/>
    <x v="0"/>
    <s v="ТОО &quot;Каспий Құрылыс ЛТД&quot; "/>
    <s v="060740001628"/>
    <s v="ТОО &quot;Garant Investment&quot;"/>
    <s v="170440014681"/>
    <n v="14682663880"/>
    <n v="52536.800000000003"/>
    <n v="35232.120000000003"/>
    <n v="279.47399999999999"/>
    <n v="385"/>
    <x v="168"/>
    <n v="390"/>
    <m/>
    <n v="12.16"/>
    <d v="2021-03-03T00:00:00"/>
    <d v="2024-01-03T00:00:00"/>
    <d v="2024-04-03T00:00:00"/>
    <d v="2024-07-03T00:00:00"/>
    <d v="2024-10-03T00:00:00"/>
    <d v="2024-10-03T00:00:00"/>
    <n v="131346323"/>
    <s v="ДПГ-21-01-039/098"/>
    <m/>
    <s v="Баркинхоев А.М./Алимжанова Д.К."/>
    <n v="100"/>
    <n v="3"/>
    <m/>
    <m/>
    <m/>
    <x v="1"/>
  </r>
  <r>
    <n v="2"/>
    <s v="МЖК Алия, 2 очередь"/>
    <d v="2021-11-04T00:00:00"/>
    <x v="9"/>
    <s v="ТОО &quot;Сартай Энерго Сервис&quot;"/>
    <s v="070240022179"/>
    <s v="ТОО &quot;K7 Engineering&quot;"/>
    <n v="191040002530"/>
    <n v="7324207552"/>
    <n v="48244.78"/>
    <n v="35637.800000000003"/>
    <n v="154.4"/>
    <n v="200"/>
    <x v="128"/>
    <n v="560"/>
    <m/>
    <n v="5"/>
    <d v="2021-06-23T00:00:00"/>
    <d v="2025-07-10T00:00:00"/>
    <m/>
    <m/>
    <m/>
    <d v="2025-07-10T00:00:00"/>
    <n v="116526220"/>
    <s v="ДПГ-21-04-021/096"/>
    <m/>
    <s v="Аяпова Г.Н./Жусанова Т.А."/>
    <n v="80"/>
    <n v="0"/>
    <m/>
    <m/>
    <m/>
    <x v="1"/>
  </r>
  <r>
    <n v="3"/>
    <s v="МЖК Kerim"/>
    <d v="2022-07-07T00:00:00"/>
    <x v="0"/>
    <s v="ТОО &quot;Актау Коркем Курылыс&quot;"/>
    <n v="180440021488"/>
    <s v="ТОО &quot;ОрдаСтройИнжиниринг&quot;"/>
    <s v="110940007041"/>
    <n v="5361772296"/>
    <n v="34095.269999999997"/>
    <n v="22518.75"/>
    <n v="157.19999999999999"/>
    <n v="320"/>
    <x v="169"/>
    <n v="294"/>
    <m/>
    <n v="8"/>
    <d v="2022-03-16T00:00:00"/>
    <d v="2023-09-16T00:00:00"/>
    <d v="2023-12-16T00:00:00"/>
    <d v="2024-03-16T00:00:00"/>
    <m/>
    <s v="16.03.2024_x000a_Акт на регистрации "/>
    <n v="22318259"/>
    <s v="ДПГ-22-01-054/117"/>
    <m/>
    <s v="Баркинхоев А.М./Алимжанова Д.К."/>
    <n v="93"/>
    <n v="2"/>
    <m/>
    <m/>
    <m/>
    <x v="1"/>
  </r>
  <r>
    <n v="4"/>
    <s v="МЖК SPARKLE DIAMOND"/>
    <d v="2022-08-04T00:00:00"/>
    <x v="12"/>
    <s v="ТОО &quot;ВВД-Құрылыс&quot;"/>
    <s v="060240025805"/>
    <s v="ТОО &quot;SPARKLE DIAMOND&quot;"/>
    <s v="220540001566"/>
    <n v="3704798634"/>
    <n v="10948.36"/>
    <n v="7609.46"/>
    <n v="338.38799999999998"/>
    <n v="445.5"/>
    <x v="170"/>
    <n v="93"/>
    <m/>
    <n v="5"/>
    <d v="2022-05-10T00:00:00"/>
    <d v="2024-05-10T00:00:00"/>
    <d v="2024-08-10T00:00:00"/>
    <m/>
    <m/>
    <s v="10.08.2024                Гарантийный случай"/>
    <n v="33068755"/>
    <s v="ДПГ-22-16-055/120"/>
    <m/>
    <s v="Баркинхоев А.М./Алимжанова Д.К."/>
    <n v="84"/>
    <n v="1"/>
    <m/>
    <n v="273"/>
    <m/>
    <x v="1"/>
  </r>
  <r>
    <n v="5"/>
    <s v="МЖК Cемья, 2 очередь"/>
    <d v="2022-08-23T00:00:00"/>
    <x v="8"/>
    <s v=" ТОО &quot;Trans Service Company AST&quot;"/>
    <s v="080740001641"/>
    <s v="ТОО &quot;ИННОВАЦИЯ ПЛЮС&quot;"/>
    <n v="220240017482"/>
    <n v="881590818"/>
    <n v="6145.2"/>
    <n v="2059.6"/>
    <n v="216.9"/>
    <n v="257.5"/>
    <x v="109"/>
    <n v="68"/>
    <m/>
    <n v="4"/>
    <d v="2022-04-28T00:00:00"/>
    <d v="2023-11-28T00:00:00"/>
    <d v="2024-02-28T00:00:00"/>
    <s v="28.05.2024/ продлен по ЧС до 12.07.2024"/>
    <m/>
    <s v="12.07.2024                      Акт на регистрации"/>
    <n v="15542092"/>
    <s v="ДПГ-22-10-056/121"/>
    <m/>
    <s v="Кенесов М.Г./Арыстанбекова А.И."/>
    <n v="81"/>
    <n v="2"/>
    <m/>
    <n v="246"/>
    <m/>
    <x v="1"/>
  </r>
  <r>
    <n v="6"/>
    <s v="МЖК Яссауи"/>
    <d v="2023-01-13T00:00:00"/>
    <x v="0"/>
    <s v="ТОО &quot;Айзия KZ&quot;"/>
    <s v="121240010070"/>
    <s v="ТОО &quot;Astana oil trade&quot;"/>
    <s v="100740015241"/>
    <n v="6548335303"/>
    <n v="30385.95"/>
    <n v="17064.439999999999"/>
    <n v="304.77300000000002"/>
    <n v="393.23700000000002"/>
    <x v="171"/>
    <n v="295"/>
    <m/>
    <s v="1,12,16"/>
    <d v="2022-11-30T00:00:00"/>
    <d v="2024-03-30T00:00:00"/>
    <d v="2024-06-30T00:00:00"/>
    <d v="2024-09-30T00:00:00"/>
    <m/>
    <d v="2024-09-30T00:00:00"/>
    <n v="61057630"/>
    <s v="ДПГ-23-01-029/129"/>
    <m/>
    <s v="Баркинхоев А.М./Алимжанова Д.К."/>
    <n v="75"/>
    <n v="1"/>
    <m/>
    <n v="301"/>
    <m/>
    <x v="1"/>
  </r>
  <r>
    <n v="7"/>
    <s v="МЖК Asyl Tas"/>
    <d v="2023-02-21T00:00:00"/>
    <x v="3"/>
    <s v="ТОО &quot;ВВД-Құрылыс&quot;"/>
    <s v="060240025805"/>
    <s v="ТОО &quot;CRYSTAL SHYMKENT&quot;"/>
    <s v="221140027032"/>
    <n v="2757296296"/>
    <n v="9446.26"/>
    <n v="6432.11"/>
    <n v="291.89999999999998"/>
    <n v="421.9"/>
    <x v="172"/>
    <n v="103"/>
    <m/>
    <n v="5"/>
    <d v="2022-12-08T00:00:00"/>
    <d v="2023-12-08T00:00:00"/>
    <d v="2024-03-08T00:00:00"/>
    <d v="2024-06-08T00:00:00"/>
    <d v="2024-09-08T00:00:00"/>
    <s v="08.09.2024                  Гарантийный случай"/>
    <n v="24124259"/>
    <s v="ДПГ-23-13-055/132"/>
    <m/>
    <s v="Исмаков А.С./Жакыпбеков А.Д."/>
    <n v="85"/>
    <n v="3"/>
    <m/>
    <n v="327"/>
    <m/>
    <x v="1"/>
  </r>
  <r>
    <m/>
    <s v="Увеличение стоимости _x000a_МЖК Kerim"/>
    <d v="2023-02-16T00:00:00"/>
    <x v="0"/>
    <s v="ТОО &quot;Актау Коркем Курылыс&quot;"/>
    <n v="180440021488"/>
    <s v="ТОО &quot;ОрдаСтройИнжиниринг&quot;"/>
    <s v="110940007041"/>
    <n v="2441858042"/>
    <n v="0"/>
    <m/>
    <s v="-"/>
    <s v="-"/>
    <x v="173"/>
    <n v="0"/>
    <m/>
    <n v="0"/>
    <d v="2022-03-16T00:00:00"/>
    <d v="2023-09-16T00:00:00"/>
    <d v="2023-12-16T00:00:00"/>
    <d v="2024-03-16T00:00:00"/>
    <m/>
    <s v="16.03.2024_x000a_Акт на регистрации "/>
    <n v="24418580"/>
    <s v="доп.согл.№ 2 к ДПГ-22-01-054/117 от 10.08.2022"/>
    <m/>
    <s v="Баркинхоев А.М./Алимжанова Д.К."/>
    <n v="93"/>
    <n v="2"/>
    <m/>
    <n v="340"/>
    <m/>
    <x v="1"/>
  </r>
  <r>
    <n v="8"/>
    <s v="МЖК Аман пятно 7"/>
    <d v="2023-03-07T00:00:00"/>
    <x v="0"/>
    <s v="ТОО &quot;BAZIS-A Corp.&quot;"/>
    <n v="960340000376"/>
    <s v="ТОО &quot;Орынбор 2017&quot;"/>
    <s v="160340010168"/>
    <n v="2596718603"/>
    <n v="10209.6"/>
    <n v="7356.9"/>
    <n v="254.34100000000001"/>
    <n v="390"/>
    <x v="174"/>
    <n v="135"/>
    <m/>
    <n v="16"/>
    <d v="2022-10-19T00:00:00"/>
    <d v="2024-03-19T00:00:00"/>
    <s v=" до 19.03.2025 консервация проекта"/>
    <m/>
    <m/>
    <d v="2025-03-19T00:00:00"/>
    <n v="24521857"/>
    <s v="ДПГ-23-01-001/134"/>
    <m/>
    <s v="Баркинхоев А.М./Алимжанова Д.К."/>
    <n v="85"/>
    <n v="0"/>
    <m/>
    <n v="322"/>
    <m/>
    <x v="1"/>
  </r>
  <r>
    <n v="9"/>
    <s v="МЖК Apartex Burabay"/>
    <d v="2023-04-07T00:00:00"/>
    <x v="13"/>
    <s v="ТОО &quot;Биik Шаңырақ&quot;"/>
    <n v="140740007872"/>
    <s v="ТОО &quot;Apartex Burabay&quot;"/>
    <s v=" 140340019900"/>
    <n v="380442507"/>
    <n v="2497.15"/>
    <n v="1965.55"/>
    <n v="152.351"/>
    <n v="271.83300000000003"/>
    <x v="175"/>
    <n v="60"/>
    <m/>
    <n v="5"/>
    <d v="2023-02-17T00:00:00"/>
    <d v="2023-08-17T00:00:00"/>
    <d v="2023-11-17T00:00:00"/>
    <d v="2024-02-17T00:00:00"/>
    <s v="17.05.2024/ продлен по ЧС до 28.06.2024 "/>
    <s v="27.06.2024_x000a_Акт на регистрации"/>
    <n v="3406925"/>
    <s v="ДПГ-23-03-034/137"/>
    <m/>
    <s v="Кенесов М.Г./Арыстанбекова А.И."/>
    <n v="89"/>
    <n v="3"/>
    <m/>
    <n v="354"/>
    <m/>
    <x v="1"/>
  </r>
  <r>
    <n v="10"/>
    <s v="МЖК Aisar"/>
    <d v="2023-04-07T00:00:00"/>
    <x v="0"/>
    <s v="ТОО &quot;Nova City Development&quot;"/>
    <s v="110540015593"/>
    <s v="ТОО &quot;Family Village NS&quot;"/>
    <s v="110640012592"/>
    <n v="5965384158"/>
    <n v="18957.580000000002"/>
    <n v="14731.84"/>
    <n v="314.67"/>
    <n v="395.822"/>
    <x v="176"/>
    <n v="206"/>
    <m/>
    <n v="9"/>
    <d v="2023-01-19T00:00:00"/>
    <d v="2024-03-19T00:00:00"/>
    <d v="2024-06-19T00:00:00"/>
    <d v="2024-09-19T00:00:00"/>
    <m/>
    <s v="18.09.2024                     акт на регистрации "/>
    <n v="58254179"/>
    <s v="ДПГ-23-01-008/136"/>
    <m/>
    <s v="Баркинхоев А.М./Алимжанова Д.К."/>
    <n v="68"/>
    <n v="1"/>
    <n v="0"/>
    <n v="347"/>
    <m/>
    <x v="1"/>
  </r>
  <r>
    <m/>
    <s v="Наружные инженерные сети_x000a_МЖК Aisar"/>
    <d v="2023-12-28T00:00:00"/>
    <x v="0"/>
    <s v="ТОО &quot;Nova City Development&quot;"/>
    <s v="110540015593"/>
    <s v="ТОО &quot;Family Village NS&quot;"/>
    <s v="110640012592"/>
    <n v="219185995"/>
    <m/>
    <m/>
    <n v="394.928"/>
    <n v="395.517"/>
    <x v="177"/>
    <m/>
    <m/>
    <s v="-"/>
    <d v="2023-07-27T00:00:00"/>
    <d v="2024-03-19T00:00:00"/>
    <d v="2024-06-19T00:00:00"/>
    <d v="2024-09-19T00:00:00"/>
    <m/>
    <s v="18.09.2024                     акт на регистрации "/>
    <n v="2191860"/>
    <m/>
    <m/>
    <s v="Баркинхоев А.М./Алимжанова Д.К."/>
    <n v="68"/>
    <n v="1"/>
    <m/>
    <m/>
    <m/>
    <x v="1"/>
  </r>
  <r>
    <n v="11"/>
    <s v="МЖК Sezim Qala, очередь 13"/>
    <d v="2023-05-05T00:00:00"/>
    <x v="0"/>
    <s v="ТОО &quot;Nova City Development&quot;"/>
    <s v="110540015593"/>
    <s v="ТОО &quot;Ғимарат НС&quot;"/>
    <s v="130740010573"/>
    <n v="6608817195"/>
    <n v="20565.12"/>
    <n v="16685.12"/>
    <n v="321.36099999999999"/>
    <n v="440"/>
    <x v="178"/>
    <n v="278"/>
    <m/>
    <n v="20"/>
    <d v="2023-02-24T00:00:00"/>
    <d v="2024-11-24T00:00:00"/>
    <m/>
    <m/>
    <m/>
    <d v="2024-11-24T00:00:00"/>
    <n v="66088172"/>
    <s v="ДПГ-23-01-008/141"/>
    <m/>
    <s v="Баркинхоев А.М./Алимжанова Д.К."/>
    <n v="92"/>
    <n v="0"/>
    <n v="0"/>
    <n v="368"/>
    <m/>
    <x v="1"/>
  </r>
  <r>
    <n v="12"/>
    <s v="МЖК Столичный -2, блок 4"/>
    <d v="2023-06-27T00:00:00"/>
    <x v="0"/>
    <s v="ТОО &quot;MERIDIAN stroy LTD.&quot;"/>
    <s v="070740007004"/>
    <s v="ТОО &quot;EGREGOR OF FINANCE SH.R.&quot;"/>
    <s v="180540002396"/>
    <n v="3834322743"/>
    <n v="12795"/>
    <n v="9388.5"/>
    <n v="299.67399999999998"/>
    <n v="440"/>
    <x v="179"/>
    <n v="161"/>
    <m/>
    <n v="24"/>
    <d v="2023-04-11T00:00:00"/>
    <d v="2024-06-11T00:00:00"/>
    <d v="2024-09-11T00:00:00"/>
    <m/>
    <m/>
    <s v="13.08.2024                                    Акт на регистрации"/>
    <n v="33018568"/>
    <s v="ДПГ-23-01-047/146"/>
    <m/>
    <s v="Баркинхоев А.М./Алимжанова Д.К."/>
    <n v="66"/>
    <n v="1"/>
    <n v="0"/>
    <n v="362"/>
    <m/>
    <x v="1"/>
  </r>
  <r>
    <n v="13"/>
    <s v="МЖК &quot;PARASAT II, 1 очередь (п.1-6)&quot;"/>
    <d v="2023-07-04T00:00:00"/>
    <x v="14"/>
    <s v="ТОО &quot;SHEBERGOOD&quot;"/>
    <s v="070240017648"/>
    <s v=" ТОО &quot;PARASAT II&quot;"/>
    <s v="210740017974"/>
    <n v="11378893818"/>
    <n v="26579"/>
    <n v="20305.2"/>
    <n v="428.11500000000001"/>
    <n v="563.66099999999994"/>
    <x v="180"/>
    <n v="381"/>
    <m/>
    <n v="9"/>
    <d v="2023-03-29T00:00:00"/>
    <d v="2024-09-29T00:00:00"/>
    <m/>
    <m/>
    <m/>
    <d v="2024-09-29T00:00:00"/>
    <n v="100323683"/>
    <s v="ДПГ-23-02-064/147"/>
    <m/>
    <s v="Кожухова Д.Б./ Смайлова Д.Н."/>
    <n v="63"/>
    <n v="0"/>
    <n v="0"/>
    <n v="393"/>
    <m/>
    <x v="1"/>
  </r>
  <r>
    <n v="14"/>
    <s v="МЖК Лесная поляна, 12 очередь, 46Д"/>
    <d v="2023-07-18T00:00:00"/>
    <x v="15"/>
    <s v="ТОО &quot;Марапат 2011&quot;"/>
    <s v="111140016064"/>
    <s v="ТОО &quot;LP City&quot;"/>
    <s v="211040012059"/>
    <n v="2953550085"/>
    <n v="14028.4"/>
    <n v="9219.4"/>
    <n v="263.93299999999999"/>
    <n v="289.37099999999998"/>
    <x v="181"/>
    <n v="210"/>
    <m/>
    <n v="5"/>
    <d v="2023-03-20T00:00:00"/>
    <d v="2024-10-23T00:00:00"/>
    <m/>
    <m/>
    <m/>
    <d v="2024-10-23T00:00:00"/>
    <n v="22334217"/>
    <s v="ДПГ-23-03-049/148"/>
    <m/>
    <s v="Кенесов М.Г./Арыстанбекова А.И."/>
    <n v="86"/>
    <n v="0"/>
    <n v="1"/>
    <n v="401"/>
    <m/>
    <x v="1"/>
  </r>
  <r>
    <n v="15"/>
    <s v="МЖК Маяк"/>
    <d v="2023-08-01T00:00:00"/>
    <x v="16"/>
    <s v="ТОО &quot;КОРПОРАЦИЯ &quot;АСТАНА-СТРОЙИНВЕСТ&quot;"/>
    <s v="000740002447"/>
    <s v="ТОО &quot;MDI CONSTRUCTION&quot;"/>
    <s v="190440002700"/>
    <n v="4916104675"/>
    <n v="15148.34"/>
    <n v="13381.08"/>
    <n v="324.53100000000001"/>
    <n v="450"/>
    <x v="181"/>
    <n v="216"/>
    <m/>
    <n v="4"/>
    <d v="2023-07-05T00:00:00"/>
    <d v="2024-03-05T00:00:00"/>
    <d v="2024-06-05T00:00:00"/>
    <d v="2024-09-05T00:00:00"/>
    <m/>
    <d v="2024-09-05T00:00:00"/>
    <n v="44559067.490000002"/>
    <s v="ДПГ-23-05-012/149"/>
    <m/>
    <s v="Кожухова Д.Б./ Смайлова Д.Н."/>
    <n v="79"/>
    <n v="1"/>
    <n v="1"/>
    <n v="388"/>
    <m/>
    <x v="1"/>
  </r>
  <r>
    <n v="16"/>
    <s v="МЖК New City 1-2 (МЖК Ferrum City)"/>
    <d v="2023-08-15T00:00:00"/>
    <x v="0"/>
    <s v="ТОО &quot;Ferrum Co.&quot;"/>
    <s v="091040005188"/>
    <s v="ТОО &quot;New City1-2&quot;"/>
    <s v="210740017161"/>
    <n v="4002124719"/>
    <n v="14200.88"/>
    <n v="8791.9699999999993"/>
    <n v="403.66199999999998"/>
    <n v="458.76"/>
    <x v="182"/>
    <n v="117"/>
    <m/>
    <n v="9.18"/>
    <d v="2023-06-06T00:00:00"/>
    <d v="2024-12-06T00:00:00"/>
    <m/>
    <m/>
    <m/>
    <d v="2024-12-06T00:00:00"/>
    <n v="32891558"/>
    <s v="ДПГ-23-01-066/152"/>
    <m/>
    <s v="Баркинхоев А.М./Алимжанова Д.К."/>
    <n v="65"/>
    <n v="0"/>
    <n v="1"/>
    <n v="406"/>
    <m/>
    <x v="1"/>
  </r>
  <r>
    <n v="17"/>
    <s v="МЖК Лесная поляна, 12 очередь, 49Д"/>
    <d v="2023-09-12T00:00:00"/>
    <x v="15"/>
    <s v="ТОО &quot;Марапат 2011&quot;"/>
    <s v="111140016064"/>
    <s v="ТОО &quot;LP City&quot;"/>
    <s v="211040012059"/>
    <n v="2623982344"/>
    <n v="11041.2"/>
    <n v="7287.6"/>
    <n v="237.654"/>
    <n v="314.971"/>
    <x v="183"/>
    <n v="140"/>
    <m/>
    <n v="5"/>
    <d v="2023-08-04T00:00:00"/>
    <d v="2024-12-04T00:00:00"/>
    <m/>
    <m/>
    <m/>
    <d v="2024-12-04T00:00:00"/>
    <n v="15415734"/>
    <s v="доп.согл №1 к ДПГ-23-03-049/148 от 18.08.23г."/>
    <m/>
    <s v="Кенесов М.Г./Арыстанбекова А.И."/>
    <n v="81"/>
    <n v="0"/>
    <n v="1"/>
    <n v="419"/>
    <m/>
    <x v="1"/>
  </r>
  <r>
    <n v="18"/>
    <s v="МЖК  Жаным, 1 пусковой комплекс (МЖК V Club) "/>
    <d v="2023-09-19T00:00:00"/>
    <x v="12"/>
    <s v="ТОО &quot;Biryuza Construction»"/>
    <s v="171240023488"/>
    <s v="ТОО &quot;УК Шанырак Строй&quot;"/>
    <s v="230340036850"/>
    <n v="1802298543"/>
    <n v="6888.13"/>
    <n v="5523.29"/>
    <n v="261.65199999999999"/>
    <n v="376.66699999999997"/>
    <x v="184"/>
    <n v="63"/>
    <m/>
    <n v="9"/>
    <d v="2023-08-21T00:00:00"/>
    <d v="2024-09-21T00:00:00"/>
    <d v="2024-12-21T00:00:00"/>
    <m/>
    <m/>
    <d v="2024-12-21T00:00:00"/>
    <n v="14849026"/>
    <s v="ДПГ-23-16-068/155"/>
    <m/>
    <s v="Баркинхоев А.М./Алимжанова Д.К."/>
    <n v="66"/>
    <n v="0"/>
    <n v="1"/>
    <n v="426"/>
    <m/>
    <x v="1"/>
  </r>
  <r>
    <n v="19"/>
    <s v="МЖК Лесная поляна, 12 очередь, 48 Д"/>
    <d v="2023-09-19T00:00:00"/>
    <x v="15"/>
    <s v="ТОО &quot;Марапат 2011&quot;"/>
    <s v="111140016064"/>
    <s v="ТОО &quot;LP City&quot;"/>
    <s v="211040012059"/>
    <n v="1635711572"/>
    <n v="6384.3"/>
    <n v="4479.5"/>
    <n v="256.20800000000003"/>
    <n v="309.40899999999999"/>
    <x v="185"/>
    <n v="110"/>
    <m/>
    <n v="5"/>
    <d v="2023-08-18T00:00:00"/>
    <d v="2024-08-18T00:00:00"/>
    <d v="2024-11-18T00:00:00"/>
    <m/>
    <m/>
    <s v="20.09.2024                             акт на регистрации"/>
    <n v="9595485"/>
    <s v="доп.согл.№2 к ДПГ-23-03-049/148 от 18.08.2023"/>
    <m/>
    <s v="Кенесов М.Г./Арыстанбекова А.И."/>
    <n v="81"/>
    <n v="1"/>
    <n v="1"/>
    <n v="422"/>
    <m/>
    <x v="1"/>
  </r>
  <r>
    <n v="20"/>
    <s v="МЖК Салем"/>
    <d v="2023-09-19T00:00:00"/>
    <x v="17"/>
    <s v="ТОО &quot;Биik Шаңырақ&quot;"/>
    <n v="140740007872"/>
    <s v="ТОО &quot;M-Group Asia&quot;"/>
    <s v="220240012372"/>
    <n v="1088278078"/>
    <n v="5851.02"/>
    <n v="3760.1"/>
    <n v="289.428"/>
    <n v="314.459"/>
    <x v="185"/>
    <n v="119"/>
    <m/>
    <n v="12"/>
    <d v="2023-07-24T00:00:00"/>
    <d v="2024-05-24T00:00:00"/>
    <s v="продлен по ЧС до 19.07.2024"/>
    <m/>
    <m/>
    <d v="2024-07-19T00:00:00"/>
    <n v="9145815"/>
    <s v="ДПГ-23-03-034/154"/>
    <m/>
    <s v="Кенесов М.Г./Арыстанбекова А.И."/>
    <n v="77"/>
    <n v="0"/>
    <n v="1"/>
    <n v="421"/>
    <m/>
    <x v="1"/>
  </r>
  <r>
    <n v="21"/>
    <s v="МЖК дом №13 в мкр. Береке"/>
    <d v="2023-09-28T00:00:00"/>
    <x v="8"/>
    <s v="ТОО &quot;БК-Строй&quot;"/>
    <s v="031040001233"/>
    <s v="ТОО &quot;БК-Береке 13&quot;"/>
    <s v="230740040893"/>
    <n v="3185310492"/>
    <n v="11855.25"/>
    <n v="8687.7000000000007"/>
    <n v="268.68400000000003"/>
    <n v="367"/>
    <x v="186"/>
    <n v="174"/>
    <m/>
    <n v="5"/>
    <d v="2023-08-10T00:00:00"/>
    <d v="2024-07-10T00:00:00"/>
    <d v="2024-10-10T00:00:00"/>
    <m/>
    <m/>
    <d v="2024-10-10T00:00:00"/>
    <n v="31853105"/>
    <s v="ДПГ-23-10-048/157"/>
    <m/>
    <s v="Кенесов М.Г./Арыстанбекова А.И."/>
    <n v="63"/>
    <n v="0"/>
    <n v="0"/>
    <n v="428"/>
    <m/>
    <x v="1"/>
  </r>
  <r>
    <n v="22"/>
    <s v="МЖК Гранд Виктория 2"/>
    <d v="2023-11-07T00:00:00"/>
    <x v="0"/>
    <s v="ТОО &quot;Бағыстан&quot;"/>
    <s v="161140023096"/>
    <s v="ТОО &quot;BUILDINGPLUS&quot;"/>
    <s v="180840024962"/>
    <n v="9176506252"/>
    <n v="28301.1"/>
    <n v="18053.2"/>
    <n v="324.245"/>
    <n v="460.00315000000001"/>
    <x v="187"/>
    <n v="264"/>
    <m/>
    <s v="1, 9"/>
    <d v="2023-09-22T00:00:00"/>
    <d v="2024-06-22T00:00:00"/>
    <d v="2024-09-22T00:00:00"/>
    <d v="2024-12-22T00:00:00"/>
    <m/>
    <d v="2024-12-22T00:00:00"/>
    <n v="77965811.790000007"/>
    <s v="ДПГ-23-01-069/158"/>
    <m/>
    <s v="Баркинхоев А.М./Алимжанова Д.К."/>
    <n v="78"/>
    <n v="1"/>
    <n v="1"/>
    <n v="445"/>
    <s v="да "/>
    <x v="1"/>
  </r>
  <r>
    <n v="23"/>
    <s v="МЖК Otbasy 1 очередь"/>
    <d v="2023-12-07T00:00:00"/>
    <x v="3"/>
    <s v="ТОО &quot;Kanfar Building&quot;"/>
    <s v="060340004172"/>
    <s v="ТОО &quot;Otbasy Satu&quot;"/>
    <s v="230240002119"/>
    <n v="6804685307"/>
    <n v="17783.169999999998"/>
    <n v="10454"/>
    <n v="382.64699999999999"/>
    <n v="440"/>
    <x v="188"/>
    <n v="192"/>
    <m/>
    <n v="9"/>
    <d v="2023-09-29T00:00:00"/>
    <d v="2024-08-29T00:00:00"/>
    <m/>
    <m/>
    <m/>
    <s v="28.08.2024                        акт на регистрации"/>
    <n v="61009602.270000003"/>
    <s v="ДПГ-23-17-050/159"/>
    <m/>
    <s v="Исмаков А.С./Жакыпбеков А.Д."/>
    <n v="73"/>
    <n v="0"/>
    <n v="1"/>
    <n v="455"/>
    <s v="да "/>
    <x v="1"/>
  </r>
  <r>
    <n v="24"/>
    <s v="МЖК Бағыстан 1, 5 оч.позиция 2,4"/>
    <d v="2023-12-12T00:00:00"/>
    <x v="0"/>
    <s v="ТОО &quot;Бағыстан&quot;"/>
    <s v="161140023096"/>
    <s v="ТОО &quot;NEW LINE PROJECT&quot;"/>
    <s v="180240031389"/>
    <n v="15986084547.473101"/>
    <n v="110897.01"/>
    <n v="48140.85"/>
    <n v="144.15299999999999"/>
    <n v="374.57"/>
    <x v="188"/>
    <n v="793"/>
    <m/>
    <s v="7,9,12,15,17"/>
    <d v="2023-09-22T00:00:00"/>
    <d v="2025-08-22T00:00:00"/>
    <m/>
    <m/>
    <m/>
    <d v="2025-08-22T00:00:00"/>
    <n v="155781591.36000001"/>
    <s v="ДПГ-23-01-069/160"/>
    <m/>
    <s v="Баркинхоев А.М./Алимжанова Д.К."/>
    <n v="83"/>
    <n v="0"/>
    <n v="1"/>
    <n v="450"/>
    <s v="да "/>
    <x v="1"/>
  </r>
  <r>
    <n v="25"/>
    <s v="МЖК NOHO"/>
    <d v="2023-12-21T00:00:00"/>
    <x v="0"/>
    <s v="ТОО &quot;BAZIS-A Corp.&quot;"/>
    <n v="960340000376"/>
    <s v="ТОО &quot;SOVICO GROUP&quot;"/>
    <s v="180240017561"/>
    <n v="10030993319"/>
    <n v="54345.599999999999"/>
    <n v="32867.74"/>
    <n v="277.19900000000001"/>
    <n v="350"/>
    <x v="189"/>
    <n v="423"/>
    <m/>
    <s v="9,12,14,16"/>
    <d v="2023-07-20T00:00:00"/>
    <d v="2025-07-20T00:00:00"/>
    <m/>
    <m/>
    <m/>
    <d v="2025-07-20T00:00:00"/>
    <n v="99060352.430000007"/>
    <s v="ДПГ-24-01-001/162"/>
    <m/>
    <s v="Баркинхоев А.М./Алимжанова Д.К."/>
    <n v="91"/>
    <n v="0"/>
    <n v="2"/>
    <n v="444"/>
    <m/>
    <x v="1"/>
  </r>
  <r>
    <n v="26"/>
    <s v="МЖК Salzburg, блок 3"/>
    <d v="2023-12-14T00:00:00"/>
    <x v="0"/>
    <s v="ТОО &quot;BAZIS-A Corp.&quot;"/>
    <n v="960340000376"/>
    <s v="ТОО &quot;Euro City-2&quot;"/>
    <s v="190440041424"/>
    <n v="1544370732"/>
    <n v="7198.2"/>
    <n v="4879.2"/>
    <n v="214.55"/>
    <n v="350"/>
    <x v="190"/>
    <n v="54"/>
    <m/>
    <n v="8"/>
    <d v="2023-09-06T00:00:00"/>
    <d v="2024-12-06T00:00:00"/>
    <m/>
    <m/>
    <m/>
    <d v="2024-12-06T00:00:00"/>
    <n v="14909071"/>
    <s v="ДПГ-23-01-001/161"/>
    <m/>
    <s v="Баркинхоев А.М./Алимжанова Д.К."/>
    <n v="91"/>
    <n v="0"/>
    <n v="2"/>
    <n v="442"/>
    <m/>
    <x v="1"/>
  </r>
  <r>
    <n v="27"/>
    <s v="МЖК Salzburg, блок 4"/>
    <d v="2023-12-14T00:00:00"/>
    <x v="0"/>
    <s v="ТОО &quot;BAZIS-A Corp.&quot;"/>
    <n v="960340000376"/>
    <s v="ТОО &quot;Euro City-2&quot;"/>
    <s v="190440041424"/>
    <n v="1372954735"/>
    <n v="6094.3"/>
    <n v="4080.6"/>
    <n v="225.285"/>
    <n v="360"/>
    <x v="190"/>
    <n v="40"/>
    <m/>
    <n v="8"/>
    <d v="2023-09-06T00:00:00"/>
    <d v="2024-09-06T00:00:00"/>
    <d v="2024-12-06T00:00:00"/>
    <m/>
    <m/>
    <d v="2024-12-06T00:00:00"/>
    <n v="13001244"/>
    <s v="ДПГ-23-01-001/161"/>
    <m/>
    <s v="Баркинхоев А.М./Алимжанова Д.К."/>
    <n v="91"/>
    <n v="0"/>
    <n v="2"/>
    <n v="443"/>
    <m/>
    <x v="1"/>
  </r>
  <r>
    <n v="28"/>
    <s v="МЖК Modern City 2"/>
    <d v="2024-01-09T00:00:00"/>
    <x v="3"/>
    <s v="ТОО &quot;Оңтүстік құрылыс Сервис&quot;"/>
    <s v="010340004024"/>
    <s v="ТОО &quot;OKS-Shymcity&quot;"/>
    <s v="201140025012"/>
    <n v="8967320951"/>
    <n v="23220.52"/>
    <n v="18073.93"/>
    <n v="386.18099999999998"/>
    <n v="450.9"/>
    <x v="191"/>
    <n v="271"/>
    <m/>
    <n v="9"/>
    <d v="2023-10-20T00:00:00"/>
    <d v="2024-12-20T00:00:00"/>
    <m/>
    <m/>
    <m/>
    <d v="2024-12-20T00:00:00"/>
    <n v="71541895"/>
    <s v="доп.согл. №4 к ДПГ-22-13-004/106 от 11.02.2022"/>
    <m/>
    <s v="Исмаков А.С./Жакыпбеков А.Д."/>
    <n v="71"/>
    <n v="0"/>
    <n v="1"/>
    <n v="459"/>
    <m/>
    <x v="1"/>
  </r>
  <r>
    <n v="29"/>
    <s v="МЖК Байтерек "/>
    <d v="2024-01-26T00:00:00"/>
    <x v="2"/>
    <s v="ТОО &quot;Караванный путь&quot;"/>
    <s v="030840007596"/>
    <s v="ТОО &quot;Уркер Строй&quot;"/>
    <s v="220340033735"/>
    <n v="1886723001"/>
    <n v="10334"/>
    <n v="7497"/>
    <n v="182.57400000000001"/>
    <n v="280"/>
    <x v="192"/>
    <n v="150"/>
    <m/>
    <n v="5"/>
    <d v="2024-03-01T00:00:00"/>
    <d v="2024-10-01T00:00:00"/>
    <m/>
    <m/>
    <m/>
    <d v="2024-10-01T00:00:00"/>
    <n v="18867230"/>
    <s v="ДПГ-24-07-006/163"/>
    <m/>
    <s v="Аяпова Г.Н./Жусанова Т.А."/>
    <n v="73"/>
    <n v="0"/>
    <n v="3"/>
    <n v="456"/>
    <m/>
    <x v="1"/>
  </r>
  <r>
    <n v="30"/>
    <s v="МЖК Английский квартал, г.Атырау"/>
    <d v="2024-02-15T00:00:00"/>
    <x v="5"/>
    <s v="ТОО &quot;I BIGMA KZ&quot;"/>
    <s v="080240012629"/>
    <s v="ТОО &quot;КАСПИЙ-ЭКСПО&quot;"/>
    <s v="080840016029"/>
    <n v="3595425509"/>
    <n v="25056.9"/>
    <n v="18161.2"/>
    <n v="143"/>
    <n v="312"/>
    <x v="193"/>
    <n v="240"/>
    <m/>
    <n v="9"/>
    <d v="2023-11-13T00:00:00"/>
    <d v="2025-01-13T00:00:00"/>
    <m/>
    <m/>
    <m/>
    <d v="2025-01-13T00:00:00"/>
    <n v="32350689"/>
    <s v="ДПГ-24-06-070/164"/>
    <m/>
    <s v="Аяпова Г.Н./Жусанова Т.А."/>
    <n v="68"/>
    <n v="0"/>
    <n v="1"/>
    <n v="469"/>
    <m/>
    <x v="1"/>
  </r>
  <r>
    <n v="31"/>
    <s v="МЖК Атамура, 2 очередь"/>
    <d v="2024-02-15T00:00:00"/>
    <x v="0"/>
    <s v="ТОО &quot;Жетісу ЖҚ&quot;"/>
    <s v="031240005283"/>
    <s v="ТОО &quot;Горде&quot;"/>
    <s v="120540000160"/>
    <n v="7672975159"/>
    <n v="19294.2"/>
    <n v="13480"/>
    <n v="397.68200000000002"/>
    <n v="488.649"/>
    <x v="194"/>
    <n v="296"/>
    <m/>
    <s v="9, 17"/>
    <d v="2024-02-05T00:00:00"/>
    <d v="2025-01-20T00:00:00"/>
    <m/>
    <m/>
    <m/>
    <d v="2025-01-20T00:00:00"/>
    <n v="64691452"/>
    <s v="ДС №4 от 20.03.24г к ДПГ-22-01-024/116 от 11.08.22г"/>
    <m/>
    <s v="Баркинхоев А.М./Алимжанова Д.К."/>
    <n v="65"/>
    <n v="0"/>
    <n v="1"/>
    <n v="473"/>
    <m/>
    <x v="1"/>
  </r>
  <r>
    <n v="32"/>
    <s v="МЖК Престиж 3 (дома 5, 6)"/>
    <d v="2024-03-06T00:00:00"/>
    <x v="3"/>
    <s v="ТОО &quot;Композит-7&quot;"/>
    <s v="050640012251"/>
    <s v="ТОО &quot;PRESTIGE INVEST&quot;"/>
    <s v="220140016321"/>
    <n v="1613184111"/>
    <n v="5712"/>
    <n v="4190.55"/>
    <n v="282"/>
    <n v="433.8"/>
    <x v="195"/>
    <n v="45"/>
    <m/>
    <n v="5"/>
    <d v="2024-01-25T00:00:00"/>
    <d v="2024-11-25T00:00:00"/>
    <m/>
    <m/>
    <m/>
    <d v="2024-11-25T00:00:00"/>
    <n v="14439086"/>
    <s v="ДПГ-24-17-046/165"/>
    <m/>
    <s v="Исмаков А.С./Жакыпбеков А.Д."/>
    <n v="82"/>
    <n v="0"/>
    <n v="1"/>
    <n v="478"/>
    <m/>
    <x v="1"/>
  </r>
  <r>
    <n v="33"/>
    <s v="МЖК Landmark, 3 очередь, пятна 1,3"/>
    <d v="2024-03-15T00:00:00"/>
    <x v="0"/>
    <s v="ТОО &quot;BAZIS-A Corp.&quot;"/>
    <n v="960340000376"/>
    <s v="ТОО &quot;DOSTYK LAND&quot;"/>
    <n v="190240034484"/>
    <n v="2815219201"/>
    <n v="13082.17"/>
    <n v="7430.63"/>
    <n v="301"/>
    <n v="440"/>
    <x v="196"/>
    <n v="75"/>
    <m/>
    <n v="16.100000000000001"/>
    <d v="2023-09-05T00:00:00"/>
    <d v="2025-02-05T00:00:00"/>
    <m/>
    <m/>
    <m/>
    <d v="2025-02-05T00:00:00"/>
    <n v="23678424"/>
    <s v="ДС 9 от 11.04.2024г к ДПГ-20-01-001/037 от28.02.20г"/>
    <m/>
    <s v="Баркинхоев А.М./Алимжанова Д.К."/>
    <n v="92"/>
    <n v="0"/>
    <n v="1"/>
    <n v="481"/>
    <m/>
    <x v="1"/>
  </r>
  <r>
    <n v="34"/>
    <s v="МЖК Bilim"/>
    <d v="2024-03-19T00:00:00"/>
    <x v="0"/>
    <s v="ТОО &quot;STROY OPT&quot;"/>
    <n v="131240018048"/>
    <s v="ТОО &quot;DAULETTI QALASHYQ&quot;"/>
    <n v="170940003812"/>
    <n v="13763471058"/>
    <n v="66064.539999999994"/>
    <n v="42367.37"/>
    <n v="208.334"/>
    <n v="359"/>
    <x v="197"/>
    <n v="674"/>
    <m/>
    <s v="9,12,14,18"/>
    <d v="2024-02-29T00:00:00"/>
    <d v="2025-02-28T00:00:00"/>
    <m/>
    <m/>
    <m/>
    <d v="2025-02-28T00:00:00"/>
    <n v="117673184"/>
    <s v="ДПГ-24-01-044/166"/>
    <m/>
    <s v="Баркинхоев А.М./Алимжанова Д.К."/>
    <n v="85"/>
    <n v="0"/>
    <n v="1"/>
    <n v="484"/>
    <m/>
    <x v="1"/>
  </r>
  <r>
    <n v="35"/>
    <s v="МЖК RAAF"/>
    <d v="2024-04-02T00:00:00"/>
    <x v="14"/>
    <s v="ТОО &quot;EXCLUSIVE KURMANGAZY&quot;"/>
    <n v="170840003753"/>
    <s v="ТОО &quot;Exclusive Star&quot; "/>
    <n v="200440003119"/>
    <n v="6933930768"/>
    <n v="31440.78"/>
    <n v="19913.75"/>
    <n v="220.53899999999999"/>
    <n v="674.78599999999994"/>
    <x v="198"/>
    <n v="261"/>
    <m/>
    <n v="8.9"/>
    <d v="2023-12-13T00:00:00"/>
    <d v="2025-11-13T00:00:00"/>
    <m/>
    <m/>
    <m/>
    <d v="2025-11-13T00:00:00"/>
    <n v="69339308"/>
    <s v="ДПГ-24-02-071/167 от 12.04.2024г"/>
    <m/>
    <s v="Кожухова Д.Б./ Смайлова Д.Н."/>
    <n v="64"/>
    <n v="0"/>
    <n v="1"/>
    <n v="476"/>
    <m/>
    <x v="1"/>
  </r>
  <r>
    <n v="36"/>
    <s v="МЖК в мкр.Береке №18"/>
    <d v="2024-04-09T00:00:00"/>
    <x v="8"/>
    <s v="ТОО &quot;БК-СТРОЙ&quot;"/>
    <s v="031040001233"/>
    <s v="ТОО &quot;БК-Береке 18&quot;"/>
    <n v="240140030559"/>
    <n v="2341382653"/>
    <n v="10974.61"/>
    <n v="6795.68"/>
    <n v="213.345"/>
    <n v="360"/>
    <x v="162"/>
    <n v="120"/>
    <m/>
    <n v="5"/>
    <d v="2024-05-02T00:00:00"/>
    <d v="2025-03-02T00:00:00"/>
    <m/>
    <m/>
    <m/>
    <d v="2025-03-02T00:00:00"/>
    <n v="23413827"/>
    <s v="ДПГ-24-10-048|170"/>
    <m/>
    <s v="Кенесов М.Г./Арыстанбекова А.И."/>
    <n v="96"/>
    <n v="0"/>
    <n v="1"/>
    <n v="485"/>
    <m/>
    <x v="1"/>
  </r>
  <r>
    <n v="37"/>
    <s v="МЖК Мангилик парк"/>
    <d v="2024-04-16T00:00:00"/>
    <x v="0"/>
    <s v="ТОО &quot;ТҰРАН ҚҰРЫЛЫС НС&quot;"/>
    <s v="050640009251"/>
    <s v="ТОО &quot;EL INVEST&quot;"/>
    <s v="181140022389"/>
    <n v="7417681106"/>
    <n v="21357.11"/>
    <n v="15245.91"/>
    <n v="475.30200000000002"/>
    <n v="538.98500000000001"/>
    <x v="199"/>
    <n v="209"/>
    <m/>
    <n v="12.13"/>
    <d v="2024-02-20T00:00:00"/>
    <d v="2025-06-20T00:00:00"/>
    <m/>
    <m/>
    <m/>
    <d v="2025-06-20T00:00:00"/>
    <n v="44482873"/>
    <s v="ДПГ-24-01-023/165"/>
    <m/>
    <s v="Баркинхоев А.М./Алимжанова Д.К."/>
    <n v="85"/>
    <n v="0"/>
    <n v="1"/>
    <n v="479"/>
    <m/>
    <x v="1"/>
  </r>
  <r>
    <n v="38"/>
    <s v="МЖК Береке-2, дом 17"/>
    <d v="2024-04-18T00:00:00"/>
    <x v="8"/>
    <s v="ТОО &quot;БК-СТРОЙ&quot;"/>
    <s v="031040001233"/>
    <s v="ТОО &quot;БК-Береке 17&quot; "/>
    <s v="240240014520"/>
    <n v="2838193666"/>
    <n v="13734.47"/>
    <n v="8561.6299999999992"/>
    <n v="206.64699999999999"/>
    <n v="370"/>
    <x v="200"/>
    <n v="155"/>
    <m/>
    <n v="5"/>
    <d v="2024-05-27T00:00:00"/>
    <d v="2025-03-27T00:00:00"/>
    <m/>
    <m/>
    <m/>
    <d v="2025-03-27T00:00:00"/>
    <n v="28381937"/>
    <s v="ДПГ-24-10-048/171"/>
    <m/>
    <s v="Кенесов М.Г./Арыстанбекова А.И."/>
    <n v="96"/>
    <n v="0"/>
    <s v="-"/>
    <n v="486"/>
    <m/>
    <x v="1"/>
  </r>
  <r>
    <n v="39"/>
    <s v="МЖК Мегаполис"/>
    <d v="2024-04-18T00:00:00"/>
    <x v="0"/>
    <s v="ТОО &quot;Марапат 2011&quot;"/>
    <s v="111140016064"/>
    <s v="ТОО &quot;УПРАВЛЯЮЩАЯ КОМПАНИЯ &quot;RESMAN&quot;"/>
    <s v="160140004651"/>
    <n v="9904943139"/>
    <n v="36505.1"/>
    <n v="23133.01"/>
    <n v="271.33"/>
    <n v="433.77300000000002"/>
    <x v="201"/>
    <n v="450"/>
    <m/>
    <n v="9"/>
    <d v="2023-02-14T00:00:00"/>
    <d v="2024-09-14T00:00:00"/>
    <d v="2024-12-14T00:00:00"/>
    <m/>
    <m/>
    <d v="2024-12-14T00:00:00"/>
    <n v="55757073"/>
    <s v="ДПГ-24-01-049/169"/>
    <m/>
    <s v="Баркинхоев А.М./Алимжанова Д.К."/>
    <n v="75"/>
    <n v="0"/>
    <n v="4"/>
    <n v="477"/>
    <m/>
    <x v="1"/>
  </r>
  <r>
    <n v="40"/>
    <s v="МЖК Otbasy 2 очередь"/>
    <d v="2024-06-13T00:00:00"/>
    <x v="3"/>
    <s v="ТОО &quot;Kanfar Building&quot;"/>
    <s v="060340004172"/>
    <s v="ТОО &quot;Otbasy Satu&quot;"/>
    <s v="230240002119"/>
    <n v="11265640030"/>
    <n v="33009.83"/>
    <n v="20716.57"/>
    <n v="341.28100000000001"/>
    <n v="440"/>
    <x v="202"/>
    <n v="348"/>
    <m/>
    <s v="1, 9"/>
    <d v="2024-04-29T00:00:00"/>
    <d v="2025-11-29T00:00:00"/>
    <m/>
    <m/>
    <m/>
    <d v="2025-11-29T00:00:00"/>
    <n v="101373086"/>
    <s v="ДС №2 к ДПГ-23-17-050-159 от 28.12.2023"/>
    <m/>
    <s v="Исмаков А.С./Жакыпбеков А.Д."/>
    <n v="83"/>
    <n v="0"/>
    <n v="1"/>
    <n v="488"/>
    <m/>
    <x v="1"/>
  </r>
  <r>
    <n v="41"/>
    <s v="МЖК Жаным 2 пусковой комплекс, 2 очередь, блок Б"/>
    <d v="2024-07-18T00:00:00"/>
    <x v="12"/>
    <s v="ТОО &quot;Biryuza Construction»"/>
    <s v="171240023488"/>
    <s v="ТОО &quot;УК Шанырак Строй&quot;"/>
    <s v="230340036850"/>
    <n v="898033122"/>
    <n v="3419.26"/>
    <n v="2732.59"/>
    <n v="328.63799999999998"/>
    <n v="369.44400000000002"/>
    <x v="203"/>
    <n v="36"/>
    <m/>
    <n v="9"/>
    <d v="2024-06-06T00:00:00"/>
    <d v="2025-05-06T00:00:00"/>
    <m/>
    <m/>
    <m/>
    <d v="2025-05-06T00:00:00"/>
    <n v="7521250"/>
    <s v="ДС №1 к ДПГ-23-16-068/155 от 11.10.2023г."/>
    <m/>
    <s v="Баркинхоев А.М./Алимжанова Д.К."/>
    <n v="72"/>
    <n v="0"/>
    <n v="0"/>
    <n v="490"/>
    <m/>
    <x v="1"/>
  </r>
  <r>
    <n v="42"/>
    <s v="МЖК &quot;PARASAT II&quot;, 2 очередь (п.10,11)"/>
    <d v="2024-07-11T00:00:00"/>
    <x v="14"/>
    <s v="ТОО &quot;SHEBERGOOD&quot;"/>
    <s v="070240017648"/>
    <s v="ТОО &quot;PARASAT II&quot;"/>
    <s v="210740017974"/>
    <n v="3103406715"/>
    <n v="8853.6"/>
    <n v="7182.3"/>
    <n v="350.52499999999998"/>
    <n v="432.09100000000001"/>
    <x v="203"/>
    <n v="142"/>
    <m/>
    <n v="9.1"/>
    <d v="2024-06-01T00:00:00"/>
    <d v="2025-01-01T00:00:00"/>
    <m/>
    <m/>
    <m/>
    <d v="2025-01-01T00:00:00"/>
    <n v="27444388"/>
    <s v="ДС №1 к ДПГ-23-02-064/147 от 20.07.2023г."/>
    <m/>
    <s v="Кожухова Д.Б./ Смайлова Д.Н."/>
    <n v="80"/>
    <n v="0"/>
    <n v="1"/>
    <n v="489"/>
    <m/>
    <x v="1"/>
  </r>
  <r>
    <n v="43"/>
    <s v="МЖК Жаным 2 пусковой комплекс, 2 очередь, блок А"/>
    <d v="2024-07-18T00:00:00"/>
    <x v="12"/>
    <s v="ТОО &quot;Biryuza Construction»"/>
    <s v="171240023488"/>
    <s v="ТОО &quot;УК Шанырак Строй&quot;"/>
    <s v="230340036850"/>
    <n v="680140869"/>
    <n v="2726.43"/>
    <n v="1784.9"/>
    <n v="324.93799999999999"/>
    <n v="380"/>
    <x v="204"/>
    <n v="24"/>
    <m/>
    <n v="9"/>
    <d v="2024-06-19T00:00:00"/>
    <d v="2025-06-19T00:00:00"/>
    <m/>
    <m/>
    <m/>
    <d v="2025-06-19T00:00:00"/>
    <n v="5473612"/>
    <s v="ДС №2 к ДПГ-23-16-068/155 от 11.10.2023г."/>
    <m/>
    <s v="Баркинхоев А.М./Алимжанова Д.К."/>
    <n v="72"/>
    <n v="0"/>
    <n v="0"/>
    <n v="495"/>
    <m/>
    <x v="1"/>
  </r>
  <r>
    <n v="44"/>
    <s v="МЖК Даулетті қалашық, 2 очередь"/>
    <d v="2024-08-13T00:00:00"/>
    <x v="0"/>
    <s v="ТОО &quot;STROY OPT&quot;"/>
    <s v="131240018048"/>
    <s v="ТОО &quot;DAULETTI QALASHYQ&quot;"/>
    <s v="170940003812"/>
    <n v="5390249441"/>
    <n v="29864.22"/>
    <n v="19052.13"/>
    <n v="180.49199999999999"/>
    <n v="403.83"/>
    <x v="205"/>
    <n v="329"/>
    <m/>
    <s v="1, 9, 12"/>
    <d v="2024-07-24T00:00:00"/>
    <d v="2025-10-24T00:00:00"/>
    <m/>
    <m/>
    <m/>
    <d v="2025-10-24T00:00:00"/>
    <n v="45450566"/>
    <s v="ДС №1 к ДПГ-24-01-044/166 от 28.03.2024г."/>
    <m/>
    <s v="Баркинхоев А.М./Алимжанова Д.К."/>
    <n v="85"/>
    <m/>
    <n v="0"/>
    <n v="493"/>
    <m/>
    <x v="1"/>
  </r>
  <r>
    <n v="45"/>
    <s v="МЖК Qasiet"/>
    <d v="2024-07-25T00:00:00"/>
    <x v="0"/>
    <s v="ТОО &quot;SENSAТA CONSТRUCТION&quot;"/>
    <s v="041040007551"/>
    <s v="ТОО &quot;SENSAТA URBAN DEVELOPMENТ&quot; "/>
    <s v="201240028378"/>
    <n v="10243010511"/>
    <n v="35314.239999999998"/>
    <n v="22802.18"/>
    <n v="290"/>
    <n v="470"/>
    <x v="206"/>
    <n v="377"/>
    <m/>
    <s v="9, 12, 16"/>
    <d v="2024-06-07T00:00:00"/>
    <d v="2025-10-07T00:00:00"/>
    <m/>
    <m/>
    <m/>
    <d v="2025-10-07T00:00:00"/>
    <n v="87753132"/>
    <s v="ДПГ-24-01-036/172 от 26.08.2024г."/>
    <m/>
    <s v="Баркинхоев А.М./Алимжанова Д.К."/>
    <n v="82"/>
    <n v="0"/>
    <n v="0"/>
    <n v="494"/>
    <m/>
    <x v="1"/>
  </r>
  <r>
    <n v="46"/>
    <s v="МЖК Asar house, 3 очередь"/>
    <d v="2024-08-09T00:00:00"/>
    <x v="3"/>
    <s v="ТОО &quot;КОМПОЗИТ-7&quot;"/>
    <s v="050640012251"/>
    <s v="ТОО &quot;Asar house&quot; "/>
    <s v="210740014236"/>
    <n v="2835753390"/>
    <n v="9803.7000000000007"/>
    <n v="6712.14"/>
    <n v="289.25299999999999"/>
    <n v="427"/>
    <x v="207"/>
    <n v="130"/>
    <m/>
    <n v="5"/>
    <d v="2024-06-06T00:00:00"/>
    <d v="2025-04-06T00:00:00"/>
    <m/>
    <m/>
    <m/>
    <d v="2025-04-06T00:00:00"/>
    <n v="26255342"/>
    <s v="ДПГ-24-14-046/173 от 05.09.2024г."/>
    <m/>
    <s v="Исмаков А.С./Жакыпбеков А.Д."/>
    <n v="89"/>
    <m/>
    <n v="1"/>
    <n v="497"/>
    <m/>
    <x v="1"/>
  </r>
  <r>
    <n v="47"/>
    <s v="МЖК Salzburg, блок 1,2,5"/>
    <d v="2024-08-16T00:00:00"/>
    <x v="0"/>
    <s v="ТОО &quot;BAZIS-A Corp.&quot;"/>
    <n v="960340000376"/>
    <s v="ТОО &quot;Euro City-2&quot;"/>
    <s v="190440041424"/>
    <n v="6454916135"/>
    <n v="17342.5"/>
    <n v="7461"/>
    <n v="372.202"/>
    <n v="635.625"/>
    <x v="207"/>
    <n v="80"/>
    <m/>
    <n v="8"/>
    <d v="2024-04-10T00:00:00"/>
    <d v="2026-03-10T00:00:00"/>
    <m/>
    <m/>
    <m/>
    <d v="2026-03-10T00:00:00"/>
    <n v="63686003.060000002"/>
    <s v="ДС №1 к ДПГ -21-01-001/161 от 18.01.2024"/>
    <m/>
    <s v="Баркинхоев А.М./Алимжанова Д.К."/>
    <n v="95"/>
    <m/>
    <n v="0"/>
    <n v="499"/>
    <m/>
    <x v="1"/>
  </r>
  <r>
    <n v="48"/>
    <s v="ЖК Центральный сквер, 4 очередь"/>
    <d v="2024-09-03T00:00:00"/>
    <x v="0"/>
    <s v="ТОО &quot;SENSAТA CONSТRUCТION&quot;"/>
    <s v="041040007551"/>
    <s v="ТОО &quot;Sensata Build&quot;"/>
    <s v="201240024454"/>
    <n v="5936601406"/>
    <n v="17629.990000000002"/>
    <n v="11241.39"/>
    <n v="336.733"/>
    <n v="475.66500000000002"/>
    <x v="208"/>
    <n v="188"/>
    <m/>
    <s v="9, 12"/>
    <d v="2024-07-01T00:00:00"/>
    <d v="2025-06-01T00:00:00"/>
    <m/>
    <m/>
    <m/>
    <d v="2025-06-01T00:00:00"/>
    <n v="44093533"/>
    <m/>
    <m/>
    <s v="Баркинхоев А.М./Алимжанова Д.К."/>
    <n v="82"/>
    <n v="0"/>
    <n v="1"/>
    <n v="498"/>
    <m/>
    <x v="1"/>
  </r>
  <r>
    <n v="49"/>
    <s v="МЖК Landmark, 3 очередь, пятно 2"/>
    <d v="2024-09-03T00:00:00"/>
    <x v="0"/>
    <s v="ТОО &quot;BAZIS-A Corp.&quot;"/>
    <n v="960340000376"/>
    <s v="ТОО &quot;Dostyk Land&quot;"/>
    <s v="190240034484"/>
    <n v="2589603399"/>
    <n v="10791.17"/>
    <n v="8276.5499999999993"/>
    <n v="239.97399999999999"/>
    <n v="450"/>
    <x v="208"/>
    <n v="102"/>
    <m/>
    <n v="18"/>
    <d v="2024-05-03T00:00:00"/>
    <d v="2025-07-03T00:00:00"/>
    <m/>
    <m/>
    <m/>
    <d v="2025-07-03T00:00:00"/>
    <n v="24739461"/>
    <m/>
    <m/>
    <s v="Баркинхоев А.М./Алимжанова Д.К."/>
    <n v="95"/>
    <n v="0"/>
    <n v="2"/>
    <n v="491"/>
    <m/>
    <x v="1"/>
  </r>
  <r>
    <n v="50"/>
    <s v="МЖК Landmark, 3 очередь, пятно 50000"/>
    <m/>
    <x v="18"/>
    <m/>
    <m/>
    <m/>
    <m/>
    <n v="500000000"/>
    <m/>
    <m/>
    <m/>
    <m/>
    <x v="209"/>
    <m/>
    <m/>
    <m/>
    <m/>
    <m/>
    <m/>
    <m/>
    <m/>
    <m/>
    <m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2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271:G298" firstHeaderRow="0" firstDataRow="1" firstDataCol="1" rowPageCount="1" colPageCount="1"/>
  <pivotFields count="33">
    <pivotField dataField="1" showAll="0"/>
    <pivotField showAll="0"/>
    <pivotField numFmtId="14" showAll="0"/>
    <pivotField axis="axisRow" showAll="0">
      <items count="20">
        <item x="13"/>
        <item x="15"/>
        <item x="17"/>
        <item x="6"/>
        <item x="10"/>
        <item x="4"/>
        <item x="11"/>
        <item x="16"/>
        <item x="7"/>
        <item x="9"/>
        <item x="14"/>
        <item x="1"/>
        <item x="0"/>
        <item x="5"/>
        <item x="8"/>
        <item x="2"/>
        <item x="12"/>
        <item x="3"/>
        <item x="18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Page" multipleItemSelectionAllowed="1" showAll="0">
      <items count="211">
        <item h="1" x="208"/>
        <item x="0"/>
        <item x="1"/>
        <item x="2"/>
        <item x="3"/>
        <item x="11"/>
        <item x="7"/>
        <item x="12"/>
        <item x="4"/>
        <item x="15"/>
        <item x="5"/>
        <item x="16"/>
        <item x="13"/>
        <item x="6"/>
        <item x="17"/>
        <item x="8"/>
        <item x="14"/>
        <item x="9"/>
        <item x="10"/>
        <item x="20"/>
        <item x="18"/>
        <item x="19"/>
        <item x="29"/>
        <item x="22"/>
        <item x="27"/>
        <item x="26"/>
        <item x="32"/>
        <item x="25"/>
        <item x="24"/>
        <item x="30"/>
        <item x="21"/>
        <item x="33"/>
        <item x="35"/>
        <item x="38"/>
        <item x="36"/>
        <item x="28"/>
        <item x="34"/>
        <item x="23"/>
        <item x="39"/>
        <item x="41"/>
        <item x="47"/>
        <item x="46"/>
        <item x="40"/>
        <item x="31"/>
        <item x="44"/>
        <item x="55"/>
        <item x="45"/>
        <item x="37"/>
        <item x="42"/>
        <item x="49"/>
        <item x="56"/>
        <item x="48"/>
        <item x="100"/>
        <item x="57"/>
        <item x="53"/>
        <item x="50"/>
        <item x="43"/>
        <item x="129"/>
        <item x="51"/>
        <item x="60"/>
        <item x="52"/>
        <item x="58"/>
        <item x="59"/>
        <item x="61"/>
        <item x="102"/>
        <item x="72"/>
        <item x="86"/>
        <item x="65"/>
        <item x="62"/>
        <item x="79"/>
        <item x="83"/>
        <item x="69"/>
        <item x="125"/>
        <item x="92"/>
        <item x="64"/>
        <item x="80"/>
        <item x="87"/>
        <item x="124"/>
        <item x="84"/>
        <item x="74"/>
        <item x="54"/>
        <item x="71"/>
        <item x="68"/>
        <item x="81"/>
        <item x="105"/>
        <item x="127"/>
        <item x="96"/>
        <item x="70"/>
        <item x="75"/>
        <item x="85"/>
        <item x="67"/>
        <item x="63"/>
        <item x="66"/>
        <item x="101"/>
        <item x="97"/>
        <item x="78"/>
        <item x="133"/>
        <item x="99"/>
        <item x="103"/>
        <item x="82"/>
        <item x="88"/>
        <item x="123"/>
        <item x="76"/>
        <item x="110"/>
        <item x="73"/>
        <item x="122"/>
        <item x="126"/>
        <item x="98"/>
        <item x="119"/>
        <item x="118"/>
        <item x="146"/>
        <item x="143"/>
        <item x="168"/>
        <item x="106"/>
        <item x="128"/>
        <item x="77"/>
        <item x="114"/>
        <item x="108"/>
        <item x="113"/>
        <item x="115"/>
        <item x="95"/>
        <item x="116"/>
        <item x="93"/>
        <item x="91"/>
        <item x="104"/>
        <item x="107"/>
        <item x="94"/>
        <item x="121"/>
        <item x="117"/>
        <item x="131"/>
        <item x="120"/>
        <item x="90"/>
        <item x="157"/>
        <item x="132"/>
        <item x="130"/>
        <item x="138"/>
        <item x="141"/>
        <item x="89"/>
        <item x="137"/>
        <item x="140"/>
        <item x="139"/>
        <item x="112"/>
        <item x="169"/>
        <item x="111"/>
        <item x="151"/>
        <item x="150"/>
        <item x="170"/>
        <item x="134"/>
        <item x="135"/>
        <item x="109"/>
        <item x="155"/>
        <item x="136"/>
        <item x="154"/>
        <item x="142"/>
        <item x="152"/>
        <item x="148"/>
        <item x="145"/>
        <item x="171"/>
        <item x="149"/>
        <item x="166"/>
        <item x="164"/>
        <item x="172"/>
        <item x="147"/>
        <item x="173"/>
        <item x="174"/>
        <item x="144"/>
        <item x="175"/>
        <item x="176"/>
        <item x="178"/>
        <item x="159"/>
        <item x="167"/>
        <item x="153"/>
        <item x="158"/>
        <item x="179"/>
        <item x="180"/>
        <item x="160"/>
        <item x="163"/>
        <item x="181"/>
        <item x="182"/>
        <item x="165"/>
        <item x="161"/>
        <item x="183"/>
        <item x="184"/>
        <item x="185"/>
        <item x="156"/>
        <item x="186"/>
        <item x="187"/>
        <item x="188"/>
        <item x="189"/>
        <item x="190"/>
        <item x="177"/>
        <item x="191"/>
        <item x="192"/>
        <item x="193"/>
        <item x="194"/>
        <item x="197"/>
        <item x="195"/>
        <item x="196"/>
        <item x="198"/>
        <item x="162"/>
        <item x="200"/>
        <item x="199"/>
        <item x="201"/>
        <item x="202"/>
        <item x="203"/>
        <item x="204"/>
        <item x="205"/>
        <item x="206"/>
        <item x="207"/>
        <item h="1" x="209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2">
    <field x="32"/>
    <field x="3"/>
  </rowFields>
  <rowItems count="27">
    <i>
      <x/>
    </i>
    <i r="1">
      <x/>
    </i>
    <i r="1">
      <x v="1"/>
    </i>
    <i r="1">
      <x v="2"/>
    </i>
    <i r="1">
      <x v="7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3" hier="-1"/>
  </pageFields>
  <dataFields count="5">
    <dataField name="Количество по полю №" fld="0" subtotal="count" baseField="0" baseItem="0"/>
    <dataField name="Сумма по полю Стоимость, тенге" fld="8" baseField="32" baseItem="0" numFmtId="169"/>
    <dataField name="Сумма по полю Площадь, кв.м по Проекту" fld="9" baseField="32" baseItem="0" numFmtId="43"/>
    <dataField name="Сумма по полю Количество квартир по Проекту" fld="14" baseField="32" baseItem="0" numFmtId="169"/>
    <dataField name="Сумма по полю Количество квартир по факту (после ввода)*" fld="15" baseField="32" baseItem="0"/>
  </dataFields>
  <formats count="14">
    <format dxfId="14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2">
      <pivotArea dataOnly="0" outline="0" fieldPosition="0">
        <references count="1">
          <reference field="4294967294" count="1">
            <x v="4"/>
          </reference>
        </references>
      </pivotArea>
    </format>
    <format dxfId="131">
      <pivotArea dataOnly="0" outline="0" fieldPosition="0">
        <references count="1">
          <reference field="4294967294" count="1">
            <x v="4"/>
          </reference>
        </references>
      </pivotArea>
    </format>
    <format dxfId="130">
      <pivotArea dataOnly="0" outline="0" fieldPosition="0">
        <references count="1">
          <reference field="4294967294" count="1">
            <x v="4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Таблица1" displayName="Таблица1" ref="A1:AG264" totalsRowShown="0" headerRowDxfId="129" dataDxfId="127" headerRowBorderDxfId="128" tableBorderDxfId="126">
  <autoFilter ref="A1:AG264"/>
  <sortState ref="A2:AG263">
    <sortCondition descending="1" ref="AG1:AG263"/>
  </sortState>
  <tableColumns count="33">
    <tableColumn id="1" name="№" dataDxfId="125"/>
    <tableColumn id="2" name="Наименование Проекта" dataDxfId="124"/>
    <tableColumn id="3" name="Дата решение Правления/СД" dataDxfId="123"/>
    <tableColumn id="4" name="Регион" dataDxfId="122"/>
    <tableColumn id="5" name="Застройщик" dataDxfId="121"/>
    <tableColumn id="6" name="БИН Застройщика" dataDxfId="120"/>
    <tableColumn id="7" name="Уполномоченная компания " dataDxfId="119"/>
    <tableColumn id="8" name="БИН Уполномоченной компании" dataDxfId="118"/>
    <tableColumn id="9" name="Стоимость, тенге" dataDxfId="117"/>
    <tableColumn id="10" name="Площадь, кв.м по Проекту" dataDxfId="116"/>
    <tableColumn id="11" name="Площадь квартир, кв.м по Проекту" dataDxfId="115"/>
    <tableColumn id="12" name="Себестоимость_x000a_тыс.тенге/1 м2" dataDxfId="114"/>
    <tableColumn id="13" name="Цена реал. тыс.тенге/1 м2" dataDxfId="113"/>
    <tableColumn id="14" name="Дата заключения договора о предоставлении гарантии" dataDxfId="112"/>
    <tableColumn id="15" name="Количество квартир по Проекту" dataDxfId="111"/>
    <tableColumn id="16" name="Количество квартир по факту (после ввода)*" dataDxfId="110"/>
    <tableColumn id="17" name="Этажность" dataDxfId="109"/>
    <tableColumn id="18" name="Дата начала строительства" dataDxfId="108"/>
    <tableColumn id="19" name="Дата завершения " dataDxfId="107"/>
    <tableColumn id="20" name="Дата пролонгации 1" dataDxfId="106"/>
    <tableColumn id="21" name="Дата пролонгации 2" dataDxfId="105"/>
    <tableColumn id="22" name="Дата пролонгации 3" dataDxfId="104"/>
    <tableColumn id="23" name="Дата завершения 2" dataDxfId="103"/>
    <tableColumn id="24" name="Гарантийный взнос, тенге" dataDxfId="102"/>
    <tableColumn id="25" name="№ ДПГ" dataDxfId="101"/>
    <tableColumn id="26" name="Стоимость увеличение/уменьшение обзятельств" dataDxfId="100"/>
    <tableColumn id="27" name="Исполнитель" dataDxfId="99"/>
    <tableColumn id="28" name="Балл Застройщика " dataDxfId="98"/>
    <tableColumn id="29" name="Кол-во продлении" dataDxfId="97"/>
    <tableColumn id="30" name="Кол-во модерации" dataDxfId="96"/>
    <tableColumn id="31" name="Номер в SB" dataDxfId="95"/>
    <tableColumn id="32" name="Наличие &quot;Зеленого сертификатв&quot; " dataDxfId="94"/>
    <tableColumn id="33" name="Статус" dataDxfId="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ТаблицаД" displayName="ТаблицаД" ref="B6:AM57" totalsRowShown="0" headerRowDxfId="92" dataDxfId="91" tableBorderDxfId="90">
  <autoFilter ref="B6:AM57"/>
  <tableColumns count="38">
    <tableColumn id="1" name="Наименование Проекта" dataDxfId="89"/>
    <tableColumn id="2" name="Дата решение Правления/СД" dataDxfId="88"/>
    <tableColumn id="3" name="Регион" dataDxfId="87"/>
    <tableColumn id="4" name="Застройщик" dataDxfId="86"/>
    <tableColumn id="5" name="БИН Застройщика" dataDxfId="85"/>
    <tableColumn id="6" name="Уполномоченная компания " dataDxfId="84"/>
    <tableColumn id="7" name="БИН Уполномоченной компании" dataDxfId="83"/>
    <tableColumn id="8" name="Стоимость, тенге" dataDxfId="82"/>
    <tableColumn id="9" name="Площадь, кв.м по Проекту" dataDxfId="81"/>
    <tableColumn id="10" name="Площадь квартир, кв.м по Проекту" dataDxfId="80"/>
    <tableColumn id="37" name="Площадь коммерческих помещений, кв.м." dataDxfId="79"/>
    <tableColumn id="11" name="Себестоимость_x000a_тыс.тенге/1 м2" dataDxfId="78"/>
    <tableColumn id="12" name="Цена реал. тыс.тенге/1 м2" dataDxfId="77"/>
    <tableColumn id="13" name="Дата заключения договора о предоставлении гарантии" dataDxfId="76"/>
    <tableColumn id="14" name="Количество квартир по Проекту" dataDxfId="75"/>
    <tableColumn id="38" name="Количество квартир по факту (после ввода)*" dataDxfId="74"/>
    <tableColumn id="15" name="Этажность" dataDxfId="73"/>
    <tableColumn id="16" name="Дата начала строительства" dataDxfId="72"/>
    <tableColumn id="17" name="Дата завершения " dataDxfId="71"/>
    <tableColumn id="18" name="Дата пролонгации 1" dataDxfId="70"/>
    <tableColumn id="19" name="Дата пролонгации 2" dataDxfId="69"/>
    <tableColumn id="20" name="Дата пролонгации 3" dataDxfId="68"/>
    <tableColumn id="21" name="Дата завершения 2/Дата по АПОЭ" dataDxfId="67"/>
    <tableColumn id="22" name="Гарантийный взнос, тенге" dataDxfId="66"/>
    <tableColumn id="23" name="№ ДПГ" dataDxfId="65"/>
    <tableColumn id="24" name="Итоговая стоимость с учетом снижения обязательств " dataDxfId="64"/>
    <tableColumn id="25" name="Исполнитель" dataDxfId="63"/>
    <tableColumn id="36" name="Куратор" dataDxfId="62"/>
    <tableColumn id="26" name="Балл Застройщика" dataDxfId="61"/>
    <tableColumn id="27" name="Кол-во продлении" dataDxfId="60"/>
    <tableColumn id="28" name="Кол-во модерации" dataDxfId="59"/>
    <tableColumn id="29" name="Номер в SB" dataDxfId="58"/>
    <tableColumn id="30" name="Наличие &quot;Зеленого сертификатв&quot; " dataDxfId="57"/>
    <tableColumn id="31" name="Регион_x000a_Кол-во" dataDxfId="56"/>
    <tableColumn id="32" name="Регион_x000a_Ст-ть" dataDxfId="55"/>
    <tableColumn id="33" name="Год_x000a_Кол-во" dataDxfId="54">
      <calculatedColumnFormula>CONCATENATE(YEAR(O7)," год")</calculatedColumnFormula>
    </tableColumn>
    <tableColumn id="34" name="Год_x000a_Ст-ть" dataDxfId="53">
      <calculatedColumnFormula>CONCATENATE(YEAR(O7)," год")</calculatedColumnFormula>
    </tableColumn>
    <tableColumn id="35" name="Статус" dataDxfId="52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2" name="ТаблицаЗ" displayName="ТаблицаЗ" ref="A3:AM217" totalsRowShown="0" headerRowDxfId="51" dataDxfId="49" headerRowBorderDxfId="50" tableBorderDxfId="48">
  <autoFilter ref="A3:AM217"/>
  <tableColumns count="39">
    <tableColumn id="1" name="№" dataDxfId="47"/>
    <tableColumn id="2" name="Наименование Проекта" dataDxfId="46"/>
    <tableColumn id="3" name="Дата решение Правления/СД" dataDxfId="45"/>
    <tableColumn id="4" name="Регион" dataDxfId="44"/>
    <tableColumn id="5" name="Застройщик" dataDxfId="43"/>
    <tableColumn id="6" name="БИН Застройщика" dataDxfId="42"/>
    <tableColumn id="7" name="Уполномоченная компания " dataDxfId="41"/>
    <tableColumn id="8" name="БИН Уполномоченной компании" dataDxfId="40"/>
    <tableColumn id="9" name="Стоимость, тенге" dataDxfId="39"/>
    <tableColumn id="10" name="Площадь, кв.м по Проекту" dataDxfId="38"/>
    <tableColumn id="11" name="Площадь квартир, кв.м по Проекту" dataDxfId="37"/>
    <tableColumn id="12" name="Площадь коммерческих помещений, кв.м." dataDxfId="36"/>
    <tableColumn id="13" name="Себестоимость_x000a_тыс.тенге/1 м2" dataDxfId="35"/>
    <tableColumn id="14" name="Цена реал. тыс.тенге/1 м2" dataDxfId="34"/>
    <tableColumn id="15" name="Дата заключения договора о предоставлении гарантии" dataDxfId="33"/>
    <tableColumn id="16" name="Количество квартир по Проекту" dataDxfId="32"/>
    <tableColumn id="17" name="Количество квартир по факту (после ввода)*" dataDxfId="31"/>
    <tableColumn id="18" name="Этажность" dataDxfId="30"/>
    <tableColumn id="19" name="Дата начала строительства" dataDxfId="29"/>
    <tableColumn id="20" name="Дата завершения " dataDxfId="28"/>
    <tableColumn id="21" name="Дата пролонгации 1" dataDxfId="27"/>
    <tableColumn id="22" name="Дата пролонгации 2" dataDxfId="26"/>
    <tableColumn id="23" name="Дата пролонгации 3" dataDxfId="25"/>
    <tableColumn id="24" name="Дата завершения 2/Дата по АПОЭ" dataDxfId="24"/>
    <tableColumn id="25" name="Гарантийный взнос, тенге" dataDxfId="23"/>
    <tableColumn id="26" name="№ ДПГ" dataDxfId="22"/>
    <tableColumn id="27" name="Итоговая стоимость с учетом снижения обязательств " dataDxfId="21"/>
    <tableColumn id="28" name="Исполнитель" dataDxfId="20"/>
    <tableColumn id="29" name="Куратор" dataDxfId="19"/>
    <tableColumn id="30" name="Балл Застройщика" dataDxfId="18"/>
    <tableColumn id="31" name="Кол-во продлении" dataDxfId="17"/>
    <tableColumn id="32" name="Кол-во модерации" dataDxfId="16"/>
    <tableColumn id="33" name="Номер в SB" dataDxfId="15"/>
    <tableColumn id="34" name="Наличие &quot;Зеленого сертификатв&quot; " dataDxfId="14"/>
    <tableColumn id="35" name="Регион_x000a_Кол-во" dataDxfId="13"/>
    <tableColumn id="36" name="Регион_x000a_Ст-ть" dataDxfId="12"/>
    <tableColumn id="37" name="Год_x000a_Кол-во" dataDxfId="11">
      <calculatedColumnFormula>CONCATENATE(YEAR(O4)," год")</calculatedColumnFormula>
    </tableColumn>
    <tableColumn id="38" name="Год_x000a_Ст-ть" dataDxfId="10">
      <calculatedColumnFormula>CONCATENATE(YEAR(O4)," год")</calculatedColumnFormula>
    </tableColumn>
    <tableColumn id="39" name="Статус" dataDxfId="9">
      <calculatedColumnFormula>1</calculatedColumnFormula>
    </tableColumn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Таблица4" displayName="Таблица4" ref="B4:E9" totalsRowShown="0" headerRowDxfId="8" dataDxfId="6" headerRowBorderDxfId="7" tableBorderDxfId="5" totalsRowBorderDxfId="4">
  <autoFilter ref="B4:E9"/>
  <tableColumns count="4">
    <tableColumn id="1" name="    " dataDxfId="3"/>
    <tableColumn id="2" name="Этапы " dataDxfId="2"/>
    <tableColumn id="3" name="Процедура " dataDxfId="1"/>
    <tableColumn id="4" name="Длительность этапа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14"/>
  <sheetViews>
    <sheetView topLeftCell="X1" workbookViewId="0">
      <pane ySplit="1" topLeftCell="A189" activePane="bottomLeft" state="frozen"/>
      <selection pane="bottomLeft" activeCell="AG193" sqref="AG193"/>
    </sheetView>
  </sheetViews>
  <sheetFormatPr defaultRowHeight="15" x14ac:dyDescent="0.25"/>
  <cols>
    <col min="1" max="1" width="9.28515625" style="312" bestFit="1" customWidth="1"/>
    <col min="2" max="2" width="52.7109375" style="312" customWidth="1"/>
    <col min="3" max="3" width="25.140625" style="312" customWidth="1"/>
    <col min="4" max="4" width="33.28515625" style="312" customWidth="1"/>
    <col min="5" max="5" width="42.140625" style="312" customWidth="1"/>
    <col min="6" max="6" width="45.7109375" style="312" customWidth="1"/>
    <col min="7" max="7" width="59.28515625" style="312" customWidth="1"/>
    <col min="8" max="8" width="22.85546875" style="312" customWidth="1"/>
    <col min="9" max="9" width="33.85546875" style="312" customWidth="1"/>
    <col min="10" max="10" width="42.85546875" style="312" customWidth="1"/>
    <col min="11" max="11" width="46" style="312" customWidth="1"/>
    <col min="12" max="12" width="59.85546875" style="312" bestFit="1" customWidth="1"/>
    <col min="13" max="13" width="27.5703125" style="312" customWidth="1"/>
    <col min="14" max="14" width="37" style="312" customWidth="1"/>
    <col min="15" max="15" width="46" style="312" customWidth="1"/>
    <col min="16" max="16" width="50.85546875" style="312" customWidth="1"/>
    <col min="17" max="17" width="63.140625" style="312" customWidth="1"/>
    <col min="18" max="18" width="32.5703125" style="312" customWidth="1"/>
    <col min="19" max="19" width="21.42578125" style="312" customWidth="1"/>
    <col min="20" max="22" width="23.140625" style="312" customWidth="1"/>
    <col min="23" max="23" width="22.5703125" style="312" customWidth="1"/>
    <col min="24" max="24" width="29.42578125" style="312" customWidth="1"/>
    <col min="25" max="25" width="10.42578125" style="312" customWidth="1"/>
    <col min="26" max="26" width="51.5703125" style="312" customWidth="1"/>
    <col min="27" max="27" width="16.5703125" style="312" customWidth="1"/>
    <col min="28" max="28" width="23" style="312" customWidth="1"/>
    <col min="29" max="29" width="20.140625" style="312" customWidth="1"/>
    <col min="30" max="30" width="20.42578125" style="312" customWidth="1"/>
    <col min="31" max="31" width="14.42578125" style="312" customWidth="1"/>
    <col min="32" max="32" width="27.85546875" style="312" customWidth="1"/>
    <col min="33" max="33" width="11.28515625" style="312" customWidth="1"/>
    <col min="34" max="16384" width="9.140625" style="312"/>
  </cols>
  <sheetData>
    <row r="1" spans="1:33" s="469" customFormat="1" ht="45" x14ac:dyDescent="0.25">
      <c r="A1" s="465" t="s">
        <v>0</v>
      </c>
      <c r="B1" s="466" t="s">
        <v>794</v>
      </c>
      <c r="C1" s="466" t="s">
        <v>751</v>
      </c>
      <c r="D1" s="466" t="s">
        <v>752</v>
      </c>
      <c r="E1" s="466" t="s">
        <v>749</v>
      </c>
      <c r="F1" s="466" t="s">
        <v>1618</v>
      </c>
      <c r="G1" s="466" t="s">
        <v>748</v>
      </c>
      <c r="H1" s="466" t="s">
        <v>1619</v>
      </c>
      <c r="I1" s="466" t="s">
        <v>26</v>
      </c>
      <c r="J1" s="466" t="s">
        <v>27</v>
      </c>
      <c r="K1" s="466" t="s">
        <v>2006</v>
      </c>
      <c r="L1" s="466" t="s">
        <v>2231</v>
      </c>
      <c r="M1" s="466" t="s">
        <v>2232</v>
      </c>
      <c r="N1" s="466" t="s">
        <v>56</v>
      </c>
      <c r="O1" s="466" t="s">
        <v>30</v>
      </c>
      <c r="P1" s="221" t="s">
        <v>57</v>
      </c>
      <c r="Q1" s="466" t="s">
        <v>31</v>
      </c>
      <c r="R1" s="466" t="s">
        <v>33</v>
      </c>
      <c r="S1" s="466" t="s">
        <v>34</v>
      </c>
      <c r="T1" s="466" t="s">
        <v>807</v>
      </c>
      <c r="U1" s="466" t="s">
        <v>808</v>
      </c>
      <c r="V1" s="466" t="s">
        <v>809</v>
      </c>
      <c r="W1" s="466" t="s">
        <v>2255</v>
      </c>
      <c r="X1" s="466" t="s">
        <v>35</v>
      </c>
      <c r="Y1" s="466" t="s">
        <v>593</v>
      </c>
      <c r="Z1" s="467" t="s">
        <v>1086</v>
      </c>
      <c r="AA1" s="466" t="s">
        <v>592</v>
      </c>
      <c r="AB1" s="468" t="s">
        <v>1545</v>
      </c>
      <c r="AC1" s="468" t="s">
        <v>1559</v>
      </c>
      <c r="AD1" s="468" t="s">
        <v>1590</v>
      </c>
      <c r="AE1" s="466" t="s">
        <v>1452</v>
      </c>
      <c r="AF1" s="466" t="s">
        <v>1719</v>
      </c>
      <c r="AG1" s="466" t="s">
        <v>2230</v>
      </c>
    </row>
    <row r="2" spans="1:33" x14ac:dyDescent="0.25">
      <c r="A2" s="428">
        <v>1</v>
      </c>
      <c r="B2" s="320" t="s">
        <v>978</v>
      </c>
      <c r="C2" s="321">
        <v>42870</v>
      </c>
      <c r="D2" s="319" t="s">
        <v>1179</v>
      </c>
      <c r="E2" s="407" t="s">
        <v>716</v>
      </c>
      <c r="F2" s="334">
        <v>960340000376</v>
      </c>
      <c r="G2" s="407" t="s">
        <v>980</v>
      </c>
      <c r="H2" s="408" t="s">
        <v>2181</v>
      </c>
      <c r="I2" s="328">
        <v>2516814000</v>
      </c>
      <c r="J2" s="332">
        <v>14000</v>
      </c>
      <c r="K2" s="314"/>
      <c r="L2" s="314"/>
      <c r="M2" s="314"/>
      <c r="N2" s="327">
        <v>42873</v>
      </c>
      <c r="O2" s="322">
        <v>178</v>
      </c>
      <c r="P2" s="309">
        <v>178</v>
      </c>
      <c r="Q2" s="322">
        <v>24</v>
      </c>
      <c r="R2" s="327">
        <v>42513</v>
      </c>
      <c r="S2" s="327">
        <v>43519</v>
      </c>
      <c r="T2" s="327"/>
      <c r="U2" s="327"/>
      <c r="V2" s="327"/>
      <c r="W2" s="327">
        <v>43154</v>
      </c>
      <c r="X2" s="324">
        <v>50336280</v>
      </c>
      <c r="Y2" s="327" t="s">
        <v>1007</v>
      </c>
      <c r="Z2" s="327"/>
      <c r="AA2" s="327"/>
      <c r="AB2" s="322">
        <v>100</v>
      </c>
      <c r="AC2" s="314"/>
      <c r="AD2" s="314"/>
      <c r="AE2" s="314"/>
      <c r="AF2" s="314"/>
      <c r="AG2" s="312" t="s">
        <v>2254</v>
      </c>
    </row>
    <row r="3" spans="1:33" x14ac:dyDescent="0.25">
      <c r="A3" s="428">
        <v>2</v>
      </c>
      <c r="B3" s="320" t="s">
        <v>979</v>
      </c>
      <c r="C3" s="321">
        <v>42968</v>
      </c>
      <c r="D3" s="319" t="s">
        <v>753</v>
      </c>
      <c r="E3" s="407" t="s">
        <v>716</v>
      </c>
      <c r="F3" s="334">
        <v>960340000376</v>
      </c>
      <c r="G3" s="407" t="s">
        <v>981</v>
      </c>
      <c r="H3" s="408" t="s">
        <v>2147</v>
      </c>
      <c r="I3" s="328">
        <v>6866978080</v>
      </c>
      <c r="J3" s="332">
        <v>35371.300000000003</v>
      </c>
      <c r="K3" s="314"/>
      <c r="L3" s="314"/>
      <c r="M3" s="314"/>
      <c r="N3" s="327">
        <v>43000</v>
      </c>
      <c r="O3" s="322">
        <v>400</v>
      </c>
      <c r="P3" s="309">
        <v>396</v>
      </c>
      <c r="Q3" s="322" t="s">
        <v>157</v>
      </c>
      <c r="R3" s="327">
        <v>42895</v>
      </c>
      <c r="S3" s="327">
        <v>43474</v>
      </c>
      <c r="T3" s="327"/>
      <c r="U3" s="327"/>
      <c r="V3" s="327"/>
      <c r="W3" s="327">
        <v>43454</v>
      </c>
      <c r="X3" s="324">
        <v>137339562</v>
      </c>
      <c r="Y3" s="327" t="s">
        <v>1006</v>
      </c>
      <c r="Z3" s="327"/>
      <c r="AA3" s="327"/>
      <c r="AB3" s="322">
        <v>100</v>
      </c>
      <c r="AC3" s="314"/>
      <c r="AD3" s="314"/>
      <c r="AE3" s="314"/>
      <c r="AF3" s="314"/>
      <c r="AG3" s="312" t="s">
        <v>2254</v>
      </c>
    </row>
    <row r="4" spans="1:33" x14ac:dyDescent="0.25">
      <c r="A4" s="428">
        <v>3</v>
      </c>
      <c r="B4" s="320" t="s">
        <v>955</v>
      </c>
      <c r="C4" s="321">
        <v>43090</v>
      </c>
      <c r="D4" s="319" t="s">
        <v>1179</v>
      </c>
      <c r="E4" s="322" t="s">
        <v>2092</v>
      </c>
      <c r="F4" s="435" t="s">
        <v>2093</v>
      </c>
      <c r="G4" s="322" t="s">
        <v>970</v>
      </c>
      <c r="H4" s="323" t="s">
        <v>2118</v>
      </c>
      <c r="I4" s="328">
        <v>1576632159</v>
      </c>
      <c r="J4" s="332">
        <v>13084</v>
      </c>
      <c r="K4" s="314"/>
      <c r="L4" s="314"/>
      <c r="M4" s="314"/>
      <c r="N4" s="321">
        <v>43122</v>
      </c>
      <c r="O4" s="319">
        <v>148</v>
      </c>
      <c r="P4" s="310">
        <v>167</v>
      </c>
      <c r="Q4" s="322">
        <v>10</v>
      </c>
      <c r="R4" s="327">
        <v>42765</v>
      </c>
      <c r="S4" s="327">
        <v>43339</v>
      </c>
      <c r="T4" s="327"/>
      <c r="U4" s="327"/>
      <c r="V4" s="327"/>
      <c r="W4" s="327">
        <v>43339</v>
      </c>
      <c r="X4" s="324">
        <v>18956603</v>
      </c>
      <c r="Y4" s="327" t="s">
        <v>1023</v>
      </c>
      <c r="Z4" s="327"/>
      <c r="AA4" s="327"/>
      <c r="AB4" s="322">
        <v>67</v>
      </c>
      <c r="AC4" s="314"/>
      <c r="AD4" s="314"/>
      <c r="AE4" s="314"/>
      <c r="AF4" s="314"/>
      <c r="AG4" s="312" t="s">
        <v>2254</v>
      </c>
    </row>
    <row r="5" spans="1:33" x14ac:dyDescent="0.25">
      <c r="A5" s="428">
        <v>4</v>
      </c>
      <c r="B5" s="320" t="s">
        <v>956</v>
      </c>
      <c r="C5" s="321">
        <v>43132</v>
      </c>
      <c r="D5" s="319" t="s">
        <v>753</v>
      </c>
      <c r="E5" s="322" t="s">
        <v>716</v>
      </c>
      <c r="F5" s="334">
        <v>960340000376</v>
      </c>
      <c r="G5" s="407" t="s">
        <v>981</v>
      </c>
      <c r="H5" s="408" t="s">
        <v>2147</v>
      </c>
      <c r="I5" s="328">
        <v>1348115202</v>
      </c>
      <c r="J5" s="332">
        <v>8303.1</v>
      </c>
      <c r="K5" s="314"/>
      <c r="L5" s="314"/>
      <c r="M5" s="314"/>
      <c r="N5" s="321">
        <v>43146</v>
      </c>
      <c r="O5" s="319">
        <v>233</v>
      </c>
      <c r="P5" s="310">
        <v>233</v>
      </c>
      <c r="Q5" s="322">
        <v>1</v>
      </c>
      <c r="R5" s="327">
        <v>43005</v>
      </c>
      <c r="S5" s="327">
        <v>43461</v>
      </c>
      <c r="T5" s="327"/>
      <c r="U5" s="327"/>
      <c r="V5" s="327"/>
      <c r="W5" s="327">
        <v>43454</v>
      </c>
      <c r="X5" s="324">
        <v>24756844</v>
      </c>
      <c r="Y5" s="327" t="s">
        <v>1022</v>
      </c>
      <c r="Z5" s="327"/>
      <c r="AA5" s="327"/>
      <c r="AB5" s="322">
        <v>100</v>
      </c>
      <c r="AC5" s="314"/>
      <c r="AD5" s="314"/>
      <c r="AE5" s="314"/>
      <c r="AF5" s="314"/>
      <c r="AG5" s="312" t="s">
        <v>2254</v>
      </c>
    </row>
    <row r="6" spans="1:33" x14ac:dyDescent="0.25">
      <c r="A6" s="428">
        <v>5</v>
      </c>
      <c r="B6" s="320" t="s">
        <v>957</v>
      </c>
      <c r="C6" s="321">
        <v>43193</v>
      </c>
      <c r="D6" s="319" t="s">
        <v>753</v>
      </c>
      <c r="E6" s="322" t="s">
        <v>949</v>
      </c>
      <c r="F6" s="323" t="s">
        <v>2100</v>
      </c>
      <c r="G6" s="322" t="s">
        <v>1759</v>
      </c>
      <c r="H6" s="323" t="s">
        <v>1955</v>
      </c>
      <c r="I6" s="328">
        <v>1543068030</v>
      </c>
      <c r="J6" s="332">
        <v>26577.5</v>
      </c>
      <c r="K6" s="314"/>
      <c r="L6" s="314"/>
      <c r="M6" s="314"/>
      <c r="N6" s="321">
        <v>43214</v>
      </c>
      <c r="O6" s="319">
        <v>300</v>
      </c>
      <c r="P6" s="310">
        <v>360</v>
      </c>
      <c r="Q6" s="319">
        <v>5</v>
      </c>
      <c r="R6" s="321">
        <v>43161</v>
      </c>
      <c r="S6" s="327">
        <v>43526</v>
      </c>
      <c r="T6" s="327"/>
      <c r="U6" s="327"/>
      <c r="V6" s="327"/>
      <c r="W6" s="327">
        <v>43482</v>
      </c>
      <c r="X6" s="324">
        <v>28414166</v>
      </c>
      <c r="Y6" s="327" t="s">
        <v>1021</v>
      </c>
      <c r="Z6" s="327"/>
      <c r="AA6" s="327"/>
      <c r="AB6" s="322">
        <v>91</v>
      </c>
      <c r="AC6" s="314"/>
      <c r="AD6" s="314"/>
      <c r="AE6" s="314"/>
      <c r="AF6" s="314"/>
      <c r="AG6" s="312" t="s">
        <v>2254</v>
      </c>
    </row>
    <row r="7" spans="1:33" x14ac:dyDescent="0.25">
      <c r="A7" s="428">
        <v>6</v>
      </c>
      <c r="B7" s="320" t="s">
        <v>958</v>
      </c>
      <c r="C7" s="321">
        <v>43206</v>
      </c>
      <c r="D7" s="319" t="s">
        <v>175</v>
      </c>
      <c r="E7" s="322" t="s">
        <v>977</v>
      </c>
      <c r="F7" s="409" t="s">
        <v>1686</v>
      </c>
      <c r="G7" s="322" t="s">
        <v>1760</v>
      </c>
      <c r="H7" s="323" t="s">
        <v>2169</v>
      </c>
      <c r="I7" s="328">
        <v>1279348120</v>
      </c>
      <c r="J7" s="332">
        <v>7546.7</v>
      </c>
      <c r="K7" s="314"/>
      <c r="L7" s="314"/>
      <c r="M7" s="314"/>
      <c r="N7" s="321">
        <v>43218</v>
      </c>
      <c r="O7" s="319">
        <v>126</v>
      </c>
      <c r="P7" s="310">
        <v>126</v>
      </c>
      <c r="Q7" s="319">
        <v>9</v>
      </c>
      <c r="R7" s="327">
        <v>42964</v>
      </c>
      <c r="S7" s="327">
        <v>43512</v>
      </c>
      <c r="T7" s="327"/>
      <c r="U7" s="327"/>
      <c r="V7" s="327"/>
      <c r="W7" s="327">
        <v>43477</v>
      </c>
      <c r="X7" s="324">
        <v>15796882</v>
      </c>
      <c r="Y7" s="327" t="s">
        <v>1020</v>
      </c>
      <c r="Z7" s="327"/>
      <c r="AA7" s="327"/>
      <c r="AB7" s="322">
        <v>64</v>
      </c>
      <c r="AC7" s="314"/>
      <c r="AD7" s="314"/>
      <c r="AE7" s="314"/>
      <c r="AF7" s="314"/>
      <c r="AG7" s="312" t="s">
        <v>2254</v>
      </c>
    </row>
    <row r="8" spans="1:33" x14ac:dyDescent="0.25">
      <c r="A8" s="428">
        <v>7</v>
      </c>
      <c r="B8" s="320" t="s">
        <v>959</v>
      </c>
      <c r="C8" s="321">
        <v>43325</v>
      </c>
      <c r="D8" s="319" t="s">
        <v>753</v>
      </c>
      <c r="E8" s="319" t="s">
        <v>949</v>
      </c>
      <c r="F8" s="323" t="s">
        <v>2100</v>
      </c>
      <c r="G8" s="319" t="s">
        <v>1759</v>
      </c>
      <c r="H8" s="323" t="s">
        <v>1955</v>
      </c>
      <c r="I8" s="328">
        <v>1543068032</v>
      </c>
      <c r="J8" s="332">
        <v>26577.5</v>
      </c>
      <c r="K8" s="314"/>
      <c r="L8" s="314"/>
      <c r="M8" s="314"/>
      <c r="N8" s="321">
        <v>43326</v>
      </c>
      <c r="O8" s="319">
        <v>300</v>
      </c>
      <c r="P8" s="310">
        <v>360</v>
      </c>
      <c r="Q8" s="319">
        <v>5</v>
      </c>
      <c r="R8" s="321">
        <v>43161</v>
      </c>
      <c r="S8" s="327">
        <v>43526</v>
      </c>
      <c r="T8" s="321"/>
      <c r="U8" s="321"/>
      <c r="V8" s="321"/>
      <c r="W8" s="321">
        <v>43482</v>
      </c>
      <c r="X8" s="328">
        <v>30861361</v>
      </c>
      <c r="Y8" s="327" t="s">
        <v>1019</v>
      </c>
      <c r="Z8" s="327"/>
      <c r="AA8" s="327"/>
      <c r="AB8" s="322">
        <v>90</v>
      </c>
      <c r="AC8" s="314"/>
      <c r="AD8" s="314"/>
      <c r="AE8" s="314"/>
      <c r="AF8" s="314"/>
      <c r="AG8" s="312" t="s">
        <v>2254</v>
      </c>
    </row>
    <row r="9" spans="1:33" x14ac:dyDescent="0.25">
      <c r="A9" s="428">
        <v>8</v>
      </c>
      <c r="B9" s="320" t="s">
        <v>960</v>
      </c>
      <c r="C9" s="321">
        <v>43159</v>
      </c>
      <c r="D9" s="319" t="s">
        <v>753</v>
      </c>
      <c r="E9" s="322" t="s">
        <v>716</v>
      </c>
      <c r="F9" s="436">
        <v>960340000376</v>
      </c>
      <c r="G9" s="407" t="s">
        <v>981</v>
      </c>
      <c r="H9" s="408" t="s">
        <v>2147</v>
      </c>
      <c r="I9" s="328">
        <v>2198326780</v>
      </c>
      <c r="J9" s="332">
        <v>12592.6</v>
      </c>
      <c r="K9" s="314"/>
      <c r="L9" s="314"/>
      <c r="M9" s="314"/>
      <c r="N9" s="321">
        <v>43175</v>
      </c>
      <c r="O9" s="319">
        <v>134</v>
      </c>
      <c r="P9" s="310">
        <v>134</v>
      </c>
      <c r="Q9" s="319" t="s">
        <v>149</v>
      </c>
      <c r="R9" s="327">
        <v>43116</v>
      </c>
      <c r="S9" s="327">
        <v>43540</v>
      </c>
      <c r="T9" s="327">
        <v>43632</v>
      </c>
      <c r="U9" s="327"/>
      <c r="V9" s="327"/>
      <c r="W9" s="327">
        <v>43633</v>
      </c>
      <c r="X9" s="324">
        <v>43145556</v>
      </c>
      <c r="Y9" s="327" t="s">
        <v>1018</v>
      </c>
      <c r="Z9" s="327"/>
      <c r="AA9" s="327"/>
      <c r="AB9" s="322">
        <v>100</v>
      </c>
      <c r="AC9" s="314"/>
      <c r="AD9" s="314"/>
      <c r="AE9" s="314"/>
      <c r="AF9" s="314"/>
      <c r="AG9" s="312" t="s">
        <v>2254</v>
      </c>
    </row>
    <row r="10" spans="1:33" x14ac:dyDescent="0.25">
      <c r="A10" s="428">
        <v>9</v>
      </c>
      <c r="B10" s="320" t="s">
        <v>961</v>
      </c>
      <c r="C10" s="321">
        <v>43325</v>
      </c>
      <c r="D10" s="319" t="s">
        <v>1179</v>
      </c>
      <c r="E10" s="322" t="s">
        <v>718</v>
      </c>
      <c r="F10" s="323" t="s">
        <v>1621</v>
      </c>
      <c r="G10" s="322" t="s">
        <v>972</v>
      </c>
      <c r="H10" s="323" t="s">
        <v>2204</v>
      </c>
      <c r="I10" s="328">
        <v>7519312044</v>
      </c>
      <c r="J10" s="332">
        <v>29141.3</v>
      </c>
      <c r="K10" s="314"/>
      <c r="L10" s="314"/>
      <c r="M10" s="314"/>
      <c r="N10" s="321">
        <v>43341</v>
      </c>
      <c r="O10" s="319">
        <v>458</v>
      </c>
      <c r="P10" s="414">
        <v>569</v>
      </c>
      <c r="Q10" s="323" t="s">
        <v>154</v>
      </c>
      <c r="R10" s="327">
        <v>43230</v>
      </c>
      <c r="S10" s="327">
        <v>43718</v>
      </c>
      <c r="T10" s="459"/>
      <c r="U10" s="460"/>
      <c r="V10" s="461"/>
      <c r="W10" s="327">
        <v>43703</v>
      </c>
      <c r="X10" s="324">
        <v>141232414</v>
      </c>
      <c r="Y10" s="327" t="s">
        <v>1017</v>
      </c>
      <c r="Z10" s="327"/>
      <c r="AA10" s="327"/>
      <c r="AB10" s="322">
        <v>78</v>
      </c>
      <c r="AC10" s="314"/>
      <c r="AD10" s="314"/>
      <c r="AE10" s="314"/>
      <c r="AF10" s="314"/>
      <c r="AG10" s="312" t="s">
        <v>2254</v>
      </c>
    </row>
    <row r="11" spans="1:33" x14ac:dyDescent="0.25">
      <c r="A11" s="428">
        <v>10</v>
      </c>
      <c r="B11" s="320" t="s">
        <v>1060</v>
      </c>
      <c r="C11" s="321">
        <v>43390</v>
      </c>
      <c r="D11" s="319" t="s">
        <v>1179</v>
      </c>
      <c r="E11" s="322" t="s">
        <v>718</v>
      </c>
      <c r="F11" s="323" t="s">
        <v>1621</v>
      </c>
      <c r="G11" s="322" t="s">
        <v>732</v>
      </c>
      <c r="H11" s="323" t="s">
        <v>2190</v>
      </c>
      <c r="I11" s="328">
        <v>6690458969</v>
      </c>
      <c r="J11" s="332">
        <v>28555.599999999999</v>
      </c>
      <c r="K11" s="314"/>
      <c r="L11" s="314"/>
      <c r="M11" s="314"/>
      <c r="N11" s="321">
        <v>43398</v>
      </c>
      <c r="O11" s="319">
        <v>467</v>
      </c>
      <c r="P11" s="310">
        <v>467</v>
      </c>
      <c r="Q11" s="322">
        <v>9</v>
      </c>
      <c r="R11" s="327">
        <v>43296</v>
      </c>
      <c r="S11" s="327">
        <v>43799</v>
      </c>
      <c r="T11" s="327">
        <v>43799</v>
      </c>
      <c r="U11" s="327"/>
      <c r="V11" s="327"/>
      <c r="W11" s="327">
        <v>43784</v>
      </c>
      <c r="X11" s="324">
        <v>127426511</v>
      </c>
      <c r="Y11" s="327" t="s">
        <v>1016</v>
      </c>
      <c r="Z11" s="327"/>
      <c r="AA11" s="327"/>
      <c r="AB11" s="322">
        <v>78</v>
      </c>
      <c r="AC11" s="314"/>
      <c r="AD11" s="314"/>
      <c r="AE11" s="314"/>
      <c r="AF11" s="314"/>
      <c r="AG11" s="312" t="s">
        <v>2254</v>
      </c>
    </row>
    <row r="12" spans="1:33" x14ac:dyDescent="0.25">
      <c r="A12" s="428">
        <v>11</v>
      </c>
      <c r="B12" s="320" t="s">
        <v>962</v>
      </c>
      <c r="C12" s="321">
        <v>43454</v>
      </c>
      <c r="D12" s="319" t="s">
        <v>753</v>
      </c>
      <c r="E12" s="322" t="s">
        <v>949</v>
      </c>
      <c r="F12" s="323" t="s">
        <v>2100</v>
      </c>
      <c r="G12" s="322" t="s">
        <v>973</v>
      </c>
      <c r="H12" s="323" t="s">
        <v>2193</v>
      </c>
      <c r="I12" s="328">
        <v>7891739810</v>
      </c>
      <c r="J12" s="332">
        <v>66742.5</v>
      </c>
      <c r="K12" s="314"/>
      <c r="L12" s="314"/>
      <c r="M12" s="314"/>
      <c r="N12" s="321">
        <v>43458</v>
      </c>
      <c r="O12" s="319">
        <v>984</v>
      </c>
      <c r="P12" s="414">
        <v>1059</v>
      </c>
      <c r="Q12" s="319">
        <v>9</v>
      </c>
      <c r="R12" s="327">
        <v>43431</v>
      </c>
      <c r="S12" s="327">
        <v>43795</v>
      </c>
      <c r="T12" s="327"/>
      <c r="U12" s="327"/>
      <c r="V12" s="327"/>
      <c r="W12" s="327">
        <v>43788</v>
      </c>
      <c r="X12" s="324">
        <v>141881753</v>
      </c>
      <c r="Y12" s="327" t="s">
        <v>1015</v>
      </c>
      <c r="Z12" s="327"/>
      <c r="AA12" s="327"/>
      <c r="AB12" s="322">
        <v>90</v>
      </c>
      <c r="AC12" s="314"/>
      <c r="AD12" s="314"/>
      <c r="AE12" s="314"/>
      <c r="AF12" s="314"/>
      <c r="AG12" s="312" t="s">
        <v>2254</v>
      </c>
    </row>
    <row r="13" spans="1:33" x14ac:dyDescent="0.25">
      <c r="A13" s="428">
        <v>12</v>
      </c>
      <c r="B13" s="320" t="s">
        <v>963</v>
      </c>
      <c r="C13" s="321">
        <v>43147</v>
      </c>
      <c r="D13" s="319" t="s">
        <v>1179</v>
      </c>
      <c r="E13" s="322" t="s">
        <v>976</v>
      </c>
      <c r="F13" s="323" t="s">
        <v>2107</v>
      </c>
      <c r="G13" s="322" t="s">
        <v>729</v>
      </c>
      <c r="H13" s="337" t="s">
        <v>1954</v>
      </c>
      <c r="I13" s="328">
        <v>2146903508</v>
      </c>
      <c r="J13" s="332">
        <v>17848.8</v>
      </c>
      <c r="K13" s="314"/>
      <c r="L13" s="314"/>
      <c r="M13" s="314"/>
      <c r="N13" s="321">
        <v>43162</v>
      </c>
      <c r="O13" s="319">
        <v>260</v>
      </c>
      <c r="P13" s="310">
        <v>276</v>
      </c>
      <c r="Q13" s="322">
        <v>14</v>
      </c>
      <c r="R13" s="327">
        <v>43160</v>
      </c>
      <c r="S13" s="327" t="s">
        <v>2023</v>
      </c>
      <c r="T13" s="327">
        <v>43616</v>
      </c>
      <c r="U13" s="327">
        <v>43708</v>
      </c>
      <c r="V13" s="327">
        <v>43890</v>
      </c>
      <c r="W13" s="327">
        <v>43803</v>
      </c>
      <c r="X13" s="324">
        <v>36796147</v>
      </c>
      <c r="Y13" s="327" t="s">
        <v>1014</v>
      </c>
      <c r="Z13" s="324">
        <v>1302438420</v>
      </c>
      <c r="AA13" s="327"/>
      <c r="AB13" s="322">
        <v>77</v>
      </c>
      <c r="AC13" s="314"/>
      <c r="AD13" s="314"/>
      <c r="AE13" s="314"/>
      <c r="AF13" s="314"/>
      <c r="AG13" s="312" t="s">
        <v>2254</v>
      </c>
    </row>
    <row r="14" spans="1:33" x14ac:dyDescent="0.25">
      <c r="A14" s="428">
        <v>13</v>
      </c>
      <c r="B14" s="320" t="s">
        <v>964</v>
      </c>
      <c r="C14" s="321">
        <v>43166</v>
      </c>
      <c r="D14" s="319" t="s">
        <v>174</v>
      </c>
      <c r="E14" s="322" t="s">
        <v>693</v>
      </c>
      <c r="F14" s="337" t="s">
        <v>1643</v>
      </c>
      <c r="G14" s="322" t="s">
        <v>702</v>
      </c>
      <c r="H14" s="323" t="s">
        <v>1639</v>
      </c>
      <c r="I14" s="328">
        <v>2458898850</v>
      </c>
      <c r="J14" s="332">
        <v>16417.7</v>
      </c>
      <c r="K14" s="314"/>
      <c r="L14" s="314"/>
      <c r="M14" s="314"/>
      <c r="N14" s="321">
        <v>43194</v>
      </c>
      <c r="O14" s="319">
        <v>104</v>
      </c>
      <c r="P14" s="309">
        <v>104</v>
      </c>
      <c r="Q14" s="322">
        <v>9</v>
      </c>
      <c r="R14" s="327">
        <v>43160</v>
      </c>
      <c r="S14" s="327" t="s">
        <v>1322</v>
      </c>
      <c r="T14" s="327">
        <v>43676</v>
      </c>
      <c r="U14" s="327">
        <v>43768</v>
      </c>
      <c r="V14" s="327">
        <v>43860</v>
      </c>
      <c r="W14" s="327">
        <v>43824</v>
      </c>
      <c r="X14" s="324">
        <v>46976477</v>
      </c>
      <c r="Y14" s="327" t="s">
        <v>1013</v>
      </c>
      <c r="Z14" s="324">
        <v>2458898850</v>
      </c>
      <c r="AA14" s="327"/>
      <c r="AB14" s="322">
        <v>64</v>
      </c>
      <c r="AC14" s="314"/>
      <c r="AD14" s="314"/>
      <c r="AE14" s="314"/>
      <c r="AF14" s="314"/>
      <c r="AG14" s="312" t="s">
        <v>2254</v>
      </c>
    </row>
    <row r="15" spans="1:33" x14ac:dyDescent="0.25">
      <c r="A15" s="428">
        <v>14</v>
      </c>
      <c r="B15" s="320" t="s">
        <v>965</v>
      </c>
      <c r="C15" s="321">
        <v>43313</v>
      </c>
      <c r="D15" s="319" t="s">
        <v>753</v>
      </c>
      <c r="E15" s="319" t="s">
        <v>716</v>
      </c>
      <c r="F15" s="334">
        <v>960340000376</v>
      </c>
      <c r="G15" s="407" t="s">
        <v>981</v>
      </c>
      <c r="H15" s="408" t="s">
        <v>2147</v>
      </c>
      <c r="I15" s="328">
        <v>2502632570</v>
      </c>
      <c r="J15" s="332">
        <v>12341.8</v>
      </c>
      <c r="K15" s="314"/>
      <c r="L15" s="314"/>
      <c r="M15" s="314"/>
      <c r="N15" s="321">
        <v>43315</v>
      </c>
      <c r="O15" s="319">
        <v>94</v>
      </c>
      <c r="P15" s="310">
        <v>94</v>
      </c>
      <c r="Q15" s="319" t="s">
        <v>149</v>
      </c>
      <c r="R15" s="321">
        <v>43280</v>
      </c>
      <c r="S15" s="321">
        <v>43859</v>
      </c>
      <c r="T15" s="321"/>
      <c r="U15" s="321"/>
      <c r="V15" s="321"/>
      <c r="W15" s="321">
        <v>43822</v>
      </c>
      <c r="X15" s="328">
        <v>48468231</v>
      </c>
      <c r="Y15" s="321" t="s">
        <v>1012</v>
      </c>
      <c r="Z15" s="321"/>
      <c r="AA15" s="321"/>
      <c r="AB15" s="322">
        <v>83</v>
      </c>
      <c r="AC15" s="314"/>
      <c r="AD15" s="314"/>
      <c r="AE15" s="314"/>
      <c r="AF15" s="314"/>
      <c r="AG15" s="312" t="s">
        <v>2254</v>
      </c>
    </row>
    <row r="16" spans="1:33" x14ac:dyDescent="0.25">
      <c r="A16" s="428">
        <v>15</v>
      </c>
      <c r="B16" s="320" t="s">
        <v>966</v>
      </c>
      <c r="C16" s="321">
        <v>43334</v>
      </c>
      <c r="D16" s="319" t="s">
        <v>1179</v>
      </c>
      <c r="E16" s="319" t="s">
        <v>888</v>
      </c>
      <c r="F16" s="337" t="s">
        <v>2108</v>
      </c>
      <c r="G16" s="319" t="s">
        <v>1761</v>
      </c>
      <c r="H16" s="337" t="s">
        <v>2194</v>
      </c>
      <c r="I16" s="328">
        <v>5341879260</v>
      </c>
      <c r="J16" s="332">
        <v>23920.799999999999</v>
      </c>
      <c r="K16" s="314"/>
      <c r="L16" s="314"/>
      <c r="M16" s="314"/>
      <c r="N16" s="321">
        <v>43385</v>
      </c>
      <c r="O16" s="319">
        <v>142</v>
      </c>
      <c r="P16" s="310">
        <v>136</v>
      </c>
      <c r="Q16" s="319" t="s">
        <v>155</v>
      </c>
      <c r="R16" s="321">
        <v>43269</v>
      </c>
      <c r="S16" s="321">
        <v>44000</v>
      </c>
      <c r="T16" s="321"/>
      <c r="U16" s="321"/>
      <c r="V16" s="321"/>
      <c r="W16" s="321">
        <v>43977</v>
      </c>
      <c r="X16" s="328">
        <v>93091230</v>
      </c>
      <c r="Y16" s="321" t="s">
        <v>1011</v>
      </c>
      <c r="Z16" s="321"/>
      <c r="AA16" s="321"/>
      <c r="AB16" s="322">
        <v>67</v>
      </c>
      <c r="AC16" s="314"/>
      <c r="AD16" s="314"/>
      <c r="AE16" s="314"/>
      <c r="AF16" s="314"/>
      <c r="AG16" s="312" t="s">
        <v>2254</v>
      </c>
    </row>
    <row r="17" spans="1:33" x14ac:dyDescent="0.25">
      <c r="A17" s="428">
        <v>16</v>
      </c>
      <c r="B17" s="320" t="s">
        <v>967</v>
      </c>
      <c r="C17" s="321">
        <v>43210</v>
      </c>
      <c r="D17" s="319" t="s">
        <v>1179</v>
      </c>
      <c r="E17" s="319" t="s">
        <v>975</v>
      </c>
      <c r="F17" s="337" t="s">
        <v>2116</v>
      </c>
      <c r="G17" s="319" t="s">
        <v>974</v>
      </c>
      <c r="H17" s="409" t="s">
        <v>1654</v>
      </c>
      <c r="I17" s="328">
        <v>6541727260</v>
      </c>
      <c r="J17" s="332">
        <v>41688.6</v>
      </c>
      <c r="K17" s="314"/>
      <c r="L17" s="314"/>
      <c r="M17" s="314"/>
      <c r="N17" s="321">
        <v>43216</v>
      </c>
      <c r="O17" s="319">
        <v>324</v>
      </c>
      <c r="P17" s="310">
        <v>324</v>
      </c>
      <c r="Q17" s="319" t="s">
        <v>156</v>
      </c>
      <c r="R17" s="321">
        <v>42921</v>
      </c>
      <c r="S17" s="420" t="s">
        <v>983</v>
      </c>
      <c r="T17" s="321">
        <v>44134</v>
      </c>
      <c r="U17" s="321">
        <v>44226</v>
      </c>
      <c r="V17" s="321">
        <v>44316</v>
      </c>
      <c r="W17" s="321">
        <v>44489</v>
      </c>
      <c r="X17" s="328">
        <v>110832077</v>
      </c>
      <c r="Y17" s="321" t="s">
        <v>1010</v>
      </c>
      <c r="Z17" s="321"/>
      <c r="AA17" s="321"/>
      <c r="AB17" s="322">
        <v>83</v>
      </c>
      <c r="AC17" s="314"/>
      <c r="AD17" s="314"/>
      <c r="AE17" s="314"/>
      <c r="AF17" s="314"/>
      <c r="AG17" s="312" t="s">
        <v>2254</v>
      </c>
    </row>
    <row r="18" spans="1:33" x14ac:dyDescent="0.25">
      <c r="A18" s="428">
        <v>17</v>
      </c>
      <c r="B18" s="320" t="s">
        <v>968</v>
      </c>
      <c r="C18" s="321">
        <v>43286</v>
      </c>
      <c r="D18" s="319" t="s">
        <v>1179</v>
      </c>
      <c r="E18" s="319" t="s">
        <v>975</v>
      </c>
      <c r="F18" s="434" t="s">
        <v>2116</v>
      </c>
      <c r="G18" s="319" t="s">
        <v>974</v>
      </c>
      <c r="H18" s="409" t="s">
        <v>1654</v>
      </c>
      <c r="I18" s="328">
        <v>3024902930</v>
      </c>
      <c r="J18" s="332">
        <v>13362.1</v>
      </c>
      <c r="K18" s="314"/>
      <c r="L18" s="314"/>
      <c r="M18" s="314"/>
      <c r="N18" s="321">
        <v>43291</v>
      </c>
      <c r="O18" s="319">
        <v>152</v>
      </c>
      <c r="P18" s="310">
        <v>152</v>
      </c>
      <c r="Q18" s="319" t="s">
        <v>156</v>
      </c>
      <c r="R18" s="321">
        <v>43040</v>
      </c>
      <c r="S18" s="321" t="s">
        <v>982</v>
      </c>
      <c r="T18" s="321">
        <v>44134</v>
      </c>
      <c r="U18" s="321">
        <v>44226</v>
      </c>
      <c r="V18" s="321">
        <v>44316</v>
      </c>
      <c r="W18" s="321">
        <v>44489</v>
      </c>
      <c r="X18" s="328">
        <v>56590879</v>
      </c>
      <c r="Y18" s="321" t="s">
        <v>1009</v>
      </c>
      <c r="Z18" s="321"/>
      <c r="AA18" s="321"/>
      <c r="AB18" s="322">
        <v>83</v>
      </c>
      <c r="AC18" s="314"/>
      <c r="AD18" s="314"/>
      <c r="AE18" s="314"/>
      <c r="AF18" s="314"/>
      <c r="AG18" s="312" t="s">
        <v>2254</v>
      </c>
    </row>
    <row r="19" spans="1:33" x14ac:dyDescent="0.25">
      <c r="A19" s="428">
        <v>18</v>
      </c>
      <c r="B19" s="320" t="s">
        <v>969</v>
      </c>
      <c r="C19" s="321">
        <v>43325</v>
      </c>
      <c r="D19" s="319" t="s">
        <v>1179</v>
      </c>
      <c r="E19" s="319" t="s">
        <v>975</v>
      </c>
      <c r="F19" s="337" t="s">
        <v>2116</v>
      </c>
      <c r="G19" s="319" t="s">
        <v>974</v>
      </c>
      <c r="H19" s="409" t="s">
        <v>1654</v>
      </c>
      <c r="I19" s="328">
        <v>3014702450</v>
      </c>
      <c r="J19" s="332">
        <v>13367.2</v>
      </c>
      <c r="K19" s="314"/>
      <c r="L19" s="314"/>
      <c r="M19" s="314"/>
      <c r="N19" s="321">
        <v>43336</v>
      </c>
      <c r="O19" s="319">
        <v>152</v>
      </c>
      <c r="P19" s="310">
        <v>152</v>
      </c>
      <c r="Q19" s="319" t="s">
        <v>156</v>
      </c>
      <c r="R19" s="321">
        <v>43266</v>
      </c>
      <c r="S19" s="321" t="s">
        <v>1321</v>
      </c>
      <c r="T19" s="321">
        <v>44134</v>
      </c>
      <c r="U19" s="321">
        <v>44226</v>
      </c>
      <c r="V19" s="321">
        <v>44316</v>
      </c>
      <c r="W19" s="321">
        <v>44489</v>
      </c>
      <c r="X19" s="328">
        <v>59088033</v>
      </c>
      <c r="Y19" s="321" t="s">
        <v>1008</v>
      </c>
      <c r="Z19" s="321"/>
      <c r="AA19" s="321"/>
      <c r="AB19" s="322">
        <v>83</v>
      </c>
      <c r="AC19" s="314"/>
      <c r="AD19" s="314"/>
      <c r="AE19" s="314"/>
      <c r="AF19" s="314"/>
      <c r="AG19" s="312" t="s">
        <v>2254</v>
      </c>
    </row>
    <row r="20" spans="1:33" x14ac:dyDescent="0.25">
      <c r="A20" s="428">
        <v>19</v>
      </c>
      <c r="B20" s="320" t="s">
        <v>1057</v>
      </c>
      <c r="C20" s="321">
        <v>43515</v>
      </c>
      <c r="D20" s="319" t="s">
        <v>1179</v>
      </c>
      <c r="E20" s="322" t="s">
        <v>718</v>
      </c>
      <c r="F20" s="323" t="s">
        <v>1621</v>
      </c>
      <c r="G20" s="319" t="s">
        <v>939</v>
      </c>
      <c r="H20" s="337" t="s">
        <v>2205</v>
      </c>
      <c r="I20" s="328">
        <v>4220953472</v>
      </c>
      <c r="J20" s="332">
        <v>21443</v>
      </c>
      <c r="K20" s="314"/>
      <c r="L20" s="314"/>
      <c r="M20" s="314"/>
      <c r="N20" s="327">
        <v>43518</v>
      </c>
      <c r="O20" s="322">
        <v>277</v>
      </c>
      <c r="P20" s="309">
        <v>266</v>
      </c>
      <c r="Q20" s="322">
        <v>9.1199999999999992</v>
      </c>
      <c r="R20" s="327">
        <v>43441</v>
      </c>
      <c r="S20" s="327">
        <v>44142</v>
      </c>
      <c r="T20" s="327"/>
      <c r="U20" s="327"/>
      <c r="V20" s="327"/>
      <c r="W20" s="327">
        <v>43824</v>
      </c>
      <c r="X20" s="324">
        <v>79630069</v>
      </c>
      <c r="Y20" s="327" t="s">
        <v>1045</v>
      </c>
      <c r="Z20" s="327"/>
      <c r="AA20" s="327"/>
      <c r="AB20" s="322">
        <v>78</v>
      </c>
      <c r="AC20" s="314"/>
      <c r="AD20" s="314"/>
      <c r="AE20" s="314"/>
      <c r="AF20" s="314"/>
      <c r="AG20" s="312" t="s">
        <v>2254</v>
      </c>
    </row>
    <row r="21" spans="1:33" x14ac:dyDescent="0.25">
      <c r="A21" s="428">
        <v>20</v>
      </c>
      <c r="B21" s="320" t="s">
        <v>914</v>
      </c>
      <c r="C21" s="321">
        <v>43523</v>
      </c>
      <c r="D21" s="319" t="s">
        <v>753</v>
      </c>
      <c r="E21" s="322" t="s">
        <v>716</v>
      </c>
      <c r="F21" s="334">
        <v>960340000376</v>
      </c>
      <c r="G21" s="407" t="s">
        <v>981</v>
      </c>
      <c r="H21" s="408" t="s">
        <v>2147</v>
      </c>
      <c r="I21" s="328">
        <v>1957311630</v>
      </c>
      <c r="J21" s="325">
        <v>12418.3</v>
      </c>
      <c r="K21" s="314"/>
      <c r="L21" s="314"/>
      <c r="M21" s="314"/>
      <c r="N21" s="327">
        <v>43543</v>
      </c>
      <c r="O21" s="322">
        <v>142</v>
      </c>
      <c r="P21" s="324">
        <v>142</v>
      </c>
      <c r="Q21" s="322" t="s">
        <v>149</v>
      </c>
      <c r="R21" s="327">
        <v>43481</v>
      </c>
      <c r="S21" s="327">
        <v>43815</v>
      </c>
      <c r="T21" s="327">
        <v>43906</v>
      </c>
      <c r="U21" s="327"/>
      <c r="V21" s="327"/>
      <c r="W21" s="327">
        <v>43866</v>
      </c>
      <c r="X21" s="324">
        <v>37257013</v>
      </c>
      <c r="Y21" s="327" t="s">
        <v>1044</v>
      </c>
      <c r="Z21" s="327"/>
      <c r="AA21" s="327"/>
      <c r="AB21" s="322">
        <v>83</v>
      </c>
      <c r="AC21" s="314"/>
      <c r="AD21" s="314"/>
      <c r="AE21" s="314"/>
      <c r="AF21" s="314"/>
      <c r="AG21" s="312" t="s">
        <v>2254</v>
      </c>
    </row>
    <row r="22" spans="1:33" x14ac:dyDescent="0.25">
      <c r="A22" s="428">
        <v>21</v>
      </c>
      <c r="B22" s="320" t="s">
        <v>915</v>
      </c>
      <c r="C22" s="321">
        <v>43501</v>
      </c>
      <c r="D22" s="319" t="s">
        <v>1179</v>
      </c>
      <c r="E22" s="322" t="s">
        <v>718</v>
      </c>
      <c r="F22" s="323" t="s">
        <v>1621</v>
      </c>
      <c r="G22" s="319" t="s">
        <v>779</v>
      </c>
      <c r="H22" s="337" t="s">
        <v>2139</v>
      </c>
      <c r="I22" s="328">
        <v>2227028801</v>
      </c>
      <c r="J22" s="325">
        <v>8855.8700000000008</v>
      </c>
      <c r="K22" s="314"/>
      <c r="L22" s="314"/>
      <c r="M22" s="314"/>
      <c r="N22" s="321">
        <v>43511</v>
      </c>
      <c r="O22" s="322">
        <v>150</v>
      </c>
      <c r="P22" s="310">
        <v>150</v>
      </c>
      <c r="Q22" s="322">
        <v>9</v>
      </c>
      <c r="R22" s="327">
        <v>43521</v>
      </c>
      <c r="S22" s="327">
        <v>43946</v>
      </c>
      <c r="T22" s="320"/>
      <c r="U22" s="320"/>
      <c r="V22" s="320"/>
      <c r="W22" s="321">
        <v>43938</v>
      </c>
      <c r="X22" s="324">
        <v>43834498</v>
      </c>
      <c r="Y22" s="319" t="s">
        <v>1043</v>
      </c>
      <c r="Z22" s="319"/>
      <c r="AA22" s="319"/>
      <c r="AB22" s="322">
        <v>78</v>
      </c>
      <c r="AC22" s="314"/>
      <c r="AD22" s="314"/>
      <c r="AE22" s="314"/>
      <c r="AF22" s="314"/>
      <c r="AG22" s="312" t="s">
        <v>2254</v>
      </c>
    </row>
    <row r="23" spans="1:33" x14ac:dyDescent="0.25">
      <c r="A23" s="428">
        <v>22</v>
      </c>
      <c r="B23" s="320" t="s">
        <v>916</v>
      </c>
      <c r="C23" s="321">
        <v>43726</v>
      </c>
      <c r="D23" s="319" t="s">
        <v>753</v>
      </c>
      <c r="E23" s="319" t="s">
        <v>949</v>
      </c>
      <c r="F23" s="323" t="s">
        <v>2100</v>
      </c>
      <c r="G23" s="319" t="s">
        <v>933</v>
      </c>
      <c r="H23" s="337" t="s">
        <v>2210</v>
      </c>
      <c r="I23" s="328">
        <v>6600809540</v>
      </c>
      <c r="J23" s="325">
        <v>64684.2</v>
      </c>
      <c r="K23" s="314"/>
      <c r="L23" s="314"/>
      <c r="M23" s="314"/>
      <c r="N23" s="321">
        <v>43728</v>
      </c>
      <c r="O23" s="324">
        <v>1008</v>
      </c>
      <c r="P23" s="414">
        <v>1118</v>
      </c>
      <c r="Q23" s="322">
        <v>9</v>
      </c>
      <c r="R23" s="327">
        <v>43711</v>
      </c>
      <c r="S23" s="327">
        <v>44257</v>
      </c>
      <c r="T23" s="320"/>
      <c r="U23" s="320"/>
      <c r="V23" s="320"/>
      <c r="W23" s="321">
        <v>43965</v>
      </c>
      <c r="X23" s="324">
        <v>132016191</v>
      </c>
      <c r="Y23" s="327" t="s">
        <v>1042</v>
      </c>
      <c r="Z23" s="327"/>
      <c r="AA23" s="327"/>
      <c r="AB23" s="322">
        <v>81</v>
      </c>
      <c r="AC23" s="314"/>
      <c r="AD23" s="314"/>
      <c r="AE23" s="314"/>
      <c r="AF23" s="314"/>
      <c r="AG23" s="312" t="s">
        <v>2254</v>
      </c>
    </row>
    <row r="24" spans="1:33" x14ac:dyDescent="0.25">
      <c r="A24" s="428">
        <v>23</v>
      </c>
      <c r="B24" s="320" t="s">
        <v>917</v>
      </c>
      <c r="C24" s="321">
        <v>43482</v>
      </c>
      <c r="D24" s="319" t="s">
        <v>1179</v>
      </c>
      <c r="E24" s="319" t="s">
        <v>716</v>
      </c>
      <c r="F24" s="334">
        <v>960340000376</v>
      </c>
      <c r="G24" s="319" t="s">
        <v>938</v>
      </c>
      <c r="H24" s="337" t="s">
        <v>2120</v>
      </c>
      <c r="I24" s="328">
        <v>3484165830</v>
      </c>
      <c r="J24" s="325">
        <v>20748.3</v>
      </c>
      <c r="K24" s="314"/>
      <c r="L24" s="314"/>
      <c r="M24" s="314"/>
      <c r="N24" s="321">
        <v>43518</v>
      </c>
      <c r="O24" s="319">
        <v>110</v>
      </c>
      <c r="P24" s="310">
        <v>100</v>
      </c>
      <c r="Q24" s="319" t="s">
        <v>150</v>
      </c>
      <c r="R24" s="327">
        <v>43357</v>
      </c>
      <c r="S24" s="327">
        <v>44042</v>
      </c>
      <c r="T24" s="320"/>
      <c r="U24" s="319"/>
      <c r="V24" s="319"/>
      <c r="W24" s="321">
        <v>44039</v>
      </c>
      <c r="X24" s="324">
        <v>68156153</v>
      </c>
      <c r="Y24" s="319" t="s">
        <v>1041</v>
      </c>
      <c r="Z24" s="319"/>
      <c r="AA24" s="319"/>
      <c r="AB24" s="322">
        <v>83</v>
      </c>
      <c r="AC24" s="314"/>
      <c r="AD24" s="314"/>
      <c r="AE24" s="314"/>
      <c r="AF24" s="314"/>
      <c r="AG24" s="312" t="s">
        <v>2254</v>
      </c>
    </row>
    <row r="25" spans="1:33" x14ac:dyDescent="0.25">
      <c r="A25" s="428">
        <v>24</v>
      </c>
      <c r="B25" s="320" t="s">
        <v>1039</v>
      </c>
      <c r="C25" s="321">
        <v>43634</v>
      </c>
      <c r="D25" s="319" t="s">
        <v>1179</v>
      </c>
      <c r="E25" s="322" t="s">
        <v>718</v>
      </c>
      <c r="F25" s="323" t="s">
        <v>1621</v>
      </c>
      <c r="G25" s="319" t="s">
        <v>941</v>
      </c>
      <c r="H25" s="337" t="s">
        <v>2156</v>
      </c>
      <c r="I25" s="328">
        <v>4429569296</v>
      </c>
      <c r="J25" s="325">
        <v>20614.560000000001</v>
      </c>
      <c r="K25" s="314"/>
      <c r="L25" s="314"/>
      <c r="M25" s="314"/>
      <c r="N25" s="321">
        <v>43647</v>
      </c>
      <c r="O25" s="319">
        <v>242</v>
      </c>
      <c r="P25" s="310">
        <v>242</v>
      </c>
      <c r="Q25" s="319">
        <v>9</v>
      </c>
      <c r="R25" s="327">
        <v>43588</v>
      </c>
      <c r="S25" s="327">
        <v>44107</v>
      </c>
      <c r="T25" s="320"/>
      <c r="U25" s="320"/>
      <c r="V25" s="320"/>
      <c r="W25" s="327">
        <v>44049</v>
      </c>
      <c r="X25" s="324">
        <v>86509774</v>
      </c>
      <c r="Y25" s="319" t="s">
        <v>1040</v>
      </c>
      <c r="Z25" s="319"/>
      <c r="AA25" s="319"/>
      <c r="AB25" s="322">
        <v>91</v>
      </c>
      <c r="AC25" s="314"/>
      <c r="AD25" s="314"/>
      <c r="AE25" s="314"/>
      <c r="AF25" s="314"/>
      <c r="AG25" s="312" t="s">
        <v>2254</v>
      </c>
    </row>
    <row r="26" spans="1:33" x14ac:dyDescent="0.25">
      <c r="A26" s="428">
        <v>25</v>
      </c>
      <c r="B26" s="320" t="s">
        <v>918</v>
      </c>
      <c r="C26" s="321">
        <v>43783</v>
      </c>
      <c r="D26" s="319" t="s">
        <v>753</v>
      </c>
      <c r="E26" s="319" t="s">
        <v>715</v>
      </c>
      <c r="F26" s="337" t="s">
        <v>1628</v>
      </c>
      <c r="G26" s="319" t="s">
        <v>817</v>
      </c>
      <c r="H26" s="323" t="s">
        <v>1628</v>
      </c>
      <c r="I26" s="328">
        <v>1733779999</v>
      </c>
      <c r="J26" s="325">
        <v>7731.36</v>
      </c>
      <c r="K26" s="314"/>
      <c r="L26" s="314"/>
      <c r="M26" s="314"/>
      <c r="N26" s="321">
        <v>43796</v>
      </c>
      <c r="O26" s="319">
        <v>143</v>
      </c>
      <c r="P26" s="310">
        <v>143</v>
      </c>
      <c r="Q26" s="319">
        <v>9</v>
      </c>
      <c r="R26" s="327">
        <v>43760</v>
      </c>
      <c r="S26" s="327">
        <v>43973</v>
      </c>
      <c r="T26" s="321">
        <v>44065</v>
      </c>
      <c r="U26" s="320"/>
      <c r="V26" s="320"/>
      <c r="W26" s="327">
        <v>44064</v>
      </c>
      <c r="X26" s="324">
        <v>30929009</v>
      </c>
      <c r="Y26" s="319" t="s">
        <v>1038</v>
      </c>
      <c r="Z26" s="319"/>
      <c r="AA26" s="319"/>
      <c r="AB26" s="322">
        <v>70</v>
      </c>
      <c r="AC26" s="314"/>
      <c r="AD26" s="314"/>
      <c r="AE26" s="314"/>
      <c r="AF26" s="314"/>
      <c r="AG26" s="312" t="s">
        <v>2254</v>
      </c>
    </row>
    <row r="27" spans="1:33" x14ac:dyDescent="0.25">
      <c r="A27" s="428">
        <v>26</v>
      </c>
      <c r="B27" s="320" t="s">
        <v>919</v>
      </c>
      <c r="C27" s="321">
        <v>43676</v>
      </c>
      <c r="D27" s="319" t="s">
        <v>174</v>
      </c>
      <c r="E27" s="319" t="s">
        <v>693</v>
      </c>
      <c r="F27" s="337" t="s">
        <v>1643</v>
      </c>
      <c r="G27" s="319" t="s">
        <v>684</v>
      </c>
      <c r="H27" s="337" t="s">
        <v>1968</v>
      </c>
      <c r="I27" s="328">
        <v>1355115090</v>
      </c>
      <c r="J27" s="325">
        <v>8903.44</v>
      </c>
      <c r="K27" s="314"/>
      <c r="L27" s="314"/>
      <c r="M27" s="314"/>
      <c r="N27" s="321">
        <v>43697</v>
      </c>
      <c r="O27" s="319">
        <v>80</v>
      </c>
      <c r="P27" s="310">
        <v>80</v>
      </c>
      <c r="Q27" s="319">
        <v>5</v>
      </c>
      <c r="R27" s="327">
        <v>43635</v>
      </c>
      <c r="S27" s="327">
        <v>43970</v>
      </c>
      <c r="T27" s="321">
        <v>44062</v>
      </c>
      <c r="U27" s="321">
        <v>44123</v>
      </c>
      <c r="V27" s="320"/>
      <c r="W27" s="327">
        <v>44068</v>
      </c>
      <c r="X27" s="324">
        <v>24228296</v>
      </c>
      <c r="Y27" s="327" t="s">
        <v>1037</v>
      </c>
      <c r="Z27" s="320"/>
      <c r="AA27" s="320"/>
      <c r="AB27" s="322">
        <v>61</v>
      </c>
      <c r="AC27" s="314"/>
      <c r="AD27" s="314"/>
      <c r="AE27" s="314"/>
      <c r="AF27" s="314"/>
      <c r="AG27" s="312" t="s">
        <v>2254</v>
      </c>
    </row>
    <row r="28" spans="1:33" x14ac:dyDescent="0.25">
      <c r="A28" s="428">
        <v>27</v>
      </c>
      <c r="B28" s="320" t="s">
        <v>920</v>
      </c>
      <c r="C28" s="321">
        <v>43676</v>
      </c>
      <c r="D28" s="319" t="s">
        <v>1179</v>
      </c>
      <c r="E28" s="322" t="s">
        <v>718</v>
      </c>
      <c r="F28" s="323" t="s">
        <v>1621</v>
      </c>
      <c r="G28" s="319" t="s">
        <v>942</v>
      </c>
      <c r="H28" s="337" t="s">
        <v>2153</v>
      </c>
      <c r="I28" s="328">
        <v>2453517883</v>
      </c>
      <c r="J28" s="325">
        <v>8855.8700000000008</v>
      </c>
      <c r="K28" s="314"/>
      <c r="L28" s="314"/>
      <c r="M28" s="314"/>
      <c r="N28" s="321">
        <v>43689</v>
      </c>
      <c r="O28" s="319">
        <v>150</v>
      </c>
      <c r="P28" s="310">
        <v>150</v>
      </c>
      <c r="Q28" s="319">
        <v>9</v>
      </c>
      <c r="R28" s="327">
        <v>43626</v>
      </c>
      <c r="S28" s="327">
        <v>44114</v>
      </c>
      <c r="T28" s="320"/>
      <c r="U28" s="320"/>
      <c r="V28" s="320"/>
      <c r="W28" s="327">
        <v>44112</v>
      </c>
      <c r="X28" s="324">
        <v>48045915</v>
      </c>
      <c r="Y28" s="327" t="s">
        <v>1036</v>
      </c>
      <c r="Z28" s="320"/>
      <c r="AA28" s="320"/>
      <c r="AB28" s="322">
        <v>91</v>
      </c>
      <c r="AC28" s="314"/>
      <c r="AD28" s="314"/>
      <c r="AE28" s="314"/>
      <c r="AF28" s="314"/>
      <c r="AG28" s="312" t="s">
        <v>2254</v>
      </c>
    </row>
    <row r="29" spans="1:33" x14ac:dyDescent="0.25">
      <c r="A29" s="428">
        <v>28</v>
      </c>
      <c r="B29" s="320" t="s">
        <v>921</v>
      </c>
      <c r="C29" s="321">
        <v>43665</v>
      </c>
      <c r="D29" s="319" t="s">
        <v>1179</v>
      </c>
      <c r="E29" s="319" t="s">
        <v>948</v>
      </c>
      <c r="F29" s="337" t="s">
        <v>2103</v>
      </c>
      <c r="G29" s="319" t="s">
        <v>932</v>
      </c>
      <c r="H29" s="337" t="s">
        <v>2126</v>
      </c>
      <c r="I29" s="328">
        <v>3019265161</v>
      </c>
      <c r="J29" s="325">
        <v>15344.61</v>
      </c>
      <c r="K29" s="314"/>
      <c r="L29" s="314"/>
      <c r="M29" s="314"/>
      <c r="N29" s="327">
        <v>43677</v>
      </c>
      <c r="O29" s="322">
        <v>108</v>
      </c>
      <c r="P29" s="324">
        <v>108</v>
      </c>
      <c r="Q29" s="322">
        <v>7</v>
      </c>
      <c r="R29" s="327">
        <v>43633</v>
      </c>
      <c r="S29" s="327">
        <v>44180</v>
      </c>
      <c r="T29" s="327"/>
      <c r="U29" s="327"/>
      <c r="V29" s="327"/>
      <c r="W29" s="327">
        <v>44165</v>
      </c>
      <c r="X29" s="324">
        <v>50272872</v>
      </c>
      <c r="Y29" s="327" t="s">
        <v>1035</v>
      </c>
      <c r="Z29" s="327"/>
      <c r="AA29" s="327"/>
      <c r="AB29" s="322">
        <v>91</v>
      </c>
      <c r="AC29" s="314"/>
      <c r="AD29" s="314"/>
      <c r="AE29" s="314"/>
      <c r="AF29" s="314"/>
      <c r="AG29" s="312" t="s">
        <v>2254</v>
      </c>
    </row>
    <row r="30" spans="1:33" x14ac:dyDescent="0.25">
      <c r="A30" s="428">
        <v>29</v>
      </c>
      <c r="B30" s="320" t="s">
        <v>922</v>
      </c>
      <c r="C30" s="321">
        <v>44081</v>
      </c>
      <c r="D30" s="319" t="s">
        <v>1179</v>
      </c>
      <c r="E30" s="322" t="s">
        <v>716</v>
      </c>
      <c r="F30" s="334">
        <v>960340000376</v>
      </c>
      <c r="G30" s="322" t="s">
        <v>867</v>
      </c>
      <c r="H30" s="323" t="s">
        <v>2199</v>
      </c>
      <c r="I30" s="328">
        <v>1136489476</v>
      </c>
      <c r="J30" s="410">
        <v>7918.13</v>
      </c>
      <c r="K30" s="314"/>
      <c r="L30" s="314"/>
      <c r="M30" s="314"/>
      <c r="N30" s="327">
        <v>43670</v>
      </c>
      <c r="O30" s="324">
        <v>85</v>
      </c>
      <c r="P30" s="324">
        <v>85</v>
      </c>
      <c r="Q30" s="319">
        <v>18</v>
      </c>
      <c r="R30" s="321">
        <v>43956</v>
      </c>
      <c r="S30" s="327">
        <v>44413</v>
      </c>
      <c r="T30" s="319"/>
      <c r="U30" s="319"/>
      <c r="V30" s="319"/>
      <c r="W30" s="321">
        <v>44398</v>
      </c>
      <c r="X30" s="324">
        <v>19307570</v>
      </c>
      <c r="Y30" s="327" t="s">
        <v>1033</v>
      </c>
      <c r="Z30" s="327"/>
      <c r="AA30" s="327"/>
      <c r="AB30" s="322">
        <v>84</v>
      </c>
      <c r="AC30" s="314"/>
      <c r="AD30" s="314"/>
      <c r="AE30" s="314"/>
      <c r="AF30" s="314"/>
      <c r="AG30" s="312" t="s">
        <v>2254</v>
      </c>
    </row>
    <row r="31" spans="1:33" x14ac:dyDescent="0.25">
      <c r="A31" s="428">
        <v>30</v>
      </c>
      <c r="B31" s="320" t="s">
        <v>923</v>
      </c>
      <c r="C31" s="321">
        <v>43726</v>
      </c>
      <c r="D31" s="319" t="s">
        <v>753</v>
      </c>
      <c r="E31" s="319" t="s">
        <v>949</v>
      </c>
      <c r="F31" s="323" t="s">
        <v>2100</v>
      </c>
      <c r="G31" s="319" t="s">
        <v>934</v>
      </c>
      <c r="H31" s="337" t="s">
        <v>2195</v>
      </c>
      <c r="I31" s="328">
        <v>5130621336</v>
      </c>
      <c r="J31" s="325">
        <v>36276.5</v>
      </c>
      <c r="K31" s="314"/>
      <c r="L31" s="314"/>
      <c r="M31" s="314"/>
      <c r="N31" s="327">
        <v>43728</v>
      </c>
      <c r="O31" s="322">
        <v>432</v>
      </c>
      <c r="P31" s="324">
        <v>468</v>
      </c>
      <c r="Q31" s="322">
        <v>12</v>
      </c>
      <c r="R31" s="327">
        <v>43712</v>
      </c>
      <c r="S31" s="327">
        <v>44188</v>
      </c>
      <c r="T31" s="327"/>
      <c r="U31" s="327"/>
      <c r="V31" s="327"/>
      <c r="W31" s="327">
        <v>44188</v>
      </c>
      <c r="X31" s="324">
        <v>102612427</v>
      </c>
      <c r="Y31" s="327" t="s">
        <v>1034</v>
      </c>
      <c r="Z31" s="327"/>
      <c r="AA31" s="327"/>
      <c r="AB31" s="322">
        <v>81</v>
      </c>
      <c r="AC31" s="314"/>
      <c r="AD31" s="314"/>
      <c r="AE31" s="314"/>
      <c r="AF31" s="314"/>
      <c r="AG31" s="312" t="s">
        <v>2254</v>
      </c>
    </row>
    <row r="32" spans="1:33" x14ac:dyDescent="0.25">
      <c r="A32" s="428">
        <v>31</v>
      </c>
      <c r="B32" s="320" t="s">
        <v>952</v>
      </c>
      <c r="C32" s="321">
        <v>43643</v>
      </c>
      <c r="D32" s="319" t="s">
        <v>1179</v>
      </c>
      <c r="E32" s="319" t="s">
        <v>716</v>
      </c>
      <c r="F32" s="334">
        <v>960340000376</v>
      </c>
      <c r="G32" s="322" t="s">
        <v>867</v>
      </c>
      <c r="H32" s="323" t="s">
        <v>2199</v>
      </c>
      <c r="I32" s="328">
        <v>2161436079</v>
      </c>
      <c r="J32" s="325">
        <v>12298.3</v>
      </c>
      <c r="K32" s="314"/>
      <c r="L32" s="314"/>
      <c r="M32" s="314"/>
      <c r="N32" s="327">
        <v>43670</v>
      </c>
      <c r="O32" s="322">
        <v>100</v>
      </c>
      <c r="P32" s="324">
        <v>100</v>
      </c>
      <c r="Q32" s="322">
        <v>21</v>
      </c>
      <c r="R32" s="327">
        <v>43614</v>
      </c>
      <c r="S32" s="327">
        <v>44103</v>
      </c>
      <c r="T32" s="327">
        <v>44194</v>
      </c>
      <c r="U32" s="327"/>
      <c r="V32" s="327"/>
      <c r="W32" s="327">
        <v>44193</v>
      </c>
      <c r="X32" s="324">
        <v>41160642</v>
      </c>
      <c r="Y32" s="327" t="s">
        <v>1033</v>
      </c>
      <c r="Z32" s="327"/>
      <c r="AA32" s="327"/>
      <c r="AB32" s="322">
        <v>78</v>
      </c>
      <c r="AC32" s="314"/>
      <c r="AD32" s="314"/>
      <c r="AE32" s="314"/>
      <c r="AF32" s="314"/>
      <c r="AG32" s="312" t="s">
        <v>2254</v>
      </c>
    </row>
    <row r="33" spans="1:33" x14ac:dyDescent="0.25">
      <c r="A33" s="428">
        <v>32</v>
      </c>
      <c r="B33" s="320" t="s">
        <v>924</v>
      </c>
      <c r="C33" s="321">
        <v>43777</v>
      </c>
      <c r="D33" s="319" t="s">
        <v>1179</v>
      </c>
      <c r="E33" s="319" t="s">
        <v>716</v>
      </c>
      <c r="F33" s="334">
        <v>960340000376</v>
      </c>
      <c r="G33" s="319" t="s">
        <v>943</v>
      </c>
      <c r="H33" s="337" t="s">
        <v>2120</v>
      </c>
      <c r="I33" s="328">
        <v>2176943630</v>
      </c>
      <c r="J33" s="325">
        <v>11705.1</v>
      </c>
      <c r="K33" s="314"/>
      <c r="L33" s="314"/>
      <c r="M33" s="314"/>
      <c r="N33" s="327">
        <v>43783</v>
      </c>
      <c r="O33" s="322">
        <v>82</v>
      </c>
      <c r="P33" s="324">
        <v>82</v>
      </c>
      <c r="Q33" s="421">
        <v>9.1</v>
      </c>
      <c r="R33" s="327">
        <v>43712</v>
      </c>
      <c r="S33" s="327">
        <v>44193</v>
      </c>
      <c r="T33" s="327"/>
      <c r="U33" s="327"/>
      <c r="V33" s="327"/>
      <c r="W33" s="327">
        <v>44193</v>
      </c>
      <c r="X33" s="324">
        <v>42801333</v>
      </c>
      <c r="Y33" s="327" t="s">
        <v>1032</v>
      </c>
      <c r="Z33" s="327"/>
      <c r="AA33" s="327"/>
      <c r="AB33" s="322">
        <v>84</v>
      </c>
      <c r="AC33" s="314"/>
      <c r="AD33" s="314"/>
      <c r="AE33" s="314"/>
      <c r="AF33" s="314"/>
      <c r="AG33" s="312" t="s">
        <v>2254</v>
      </c>
    </row>
    <row r="34" spans="1:33" x14ac:dyDescent="0.25">
      <c r="A34" s="428">
        <v>33</v>
      </c>
      <c r="B34" s="320" t="s">
        <v>925</v>
      </c>
      <c r="C34" s="321">
        <v>43628</v>
      </c>
      <c r="D34" s="319" t="s">
        <v>174</v>
      </c>
      <c r="E34" s="319" t="s">
        <v>693</v>
      </c>
      <c r="F34" s="337" t="s">
        <v>1643</v>
      </c>
      <c r="G34" s="319" t="s">
        <v>702</v>
      </c>
      <c r="H34" s="323" t="s">
        <v>1639</v>
      </c>
      <c r="I34" s="328">
        <v>4853681279</v>
      </c>
      <c r="J34" s="325">
        <v>27937.7</v>
      </c>
      <c r="K34" s="314"/>
      <c r="L34" s="314"/>
      <c r="M34" s="314"/>
      <c r="N34" s="327">
        <v>43629</v>
      </c>
      <c r="O34" s="322">
        <v>168</v>
      </c>
      <c r="P34" s="324">
        <v>168</v>
      </c>
      <c r="Q34" s="322">
        <v>9</v>
      </c>
      <c r="R34" s="327">
        <v>43588</v>
      </c>
      <c r="S34" s="327">
        <v>44258</v>
      </c>
      <c r="T34" s="327">
        <v>44350</v>
      </c>
      <c r="U34" s="327"/>
      <c r="V34" s="327"/>
      <c r="W34" s="327">
        <v>44247</v>
      </c>
      <c r="X34" s="324">
        <v>77180276</v>
      </c>
      <c r="Y34" s="327" t="s">
        <v>1031</v>
      </c>
      <c r="Z34" s="324">
        <v>3859013800</v>
      </c>
      <c r="AA34" s="327"/>
      <c r="AB34" s="322">
        <v>61</v>
      </c>
      <c r="AC34" s="314"/>
      <c r="AD34" s="314"/>
      <c r="AE34" s="314"/>
      <c r="AF34" s="314"/>
      <c r="AG34" s="312" t="s">
        <v>2254</v>
      </c>
    </row>
    <row r="35" spans="1:33" x14ac:dyDescent="0.25">
      <c r="A35" s="428">
        <v>34</v>
      </c>
      <c r="B35" s="320" t="s">
        <v>926</v>
      </c>
      <c r="C35" s="321">
        <v>43692</v>
      </c>
      <c r="D35" s="319" t="s">
        <v>1179</v>
      </c>
      <c r="E35" s="319" t="s">
        <v>716</v>
      </c>
      <c r="F35" s="334">
        <v>960340000376</v>
      </c>
      <c r="G35" s="319" t="s">
        <v>935</v>
      </c>
      <c r="H35" s="337" t="s">
        <v>2179</v>
      </c>
      <c r="I35" s="328">
        <v>2415410355</v>
      </c>
      <c r="J35" s="410">
        <v>16376.6</v>
      </c>
      <c r="K35" s="314"/>
      <c r="L35" s="314"/>
      <c r="M35" s="314"/>
      <c r="N35" s="327">
        <v>43711</v>
      </c>
      <c r="O35" s="322">
        <v>276</v>
      </c>
      <c r="P35" s="324">
        <v>248</v>
      </c>
      <c r="Q35" s="322">
        <v>9</v>
      </c>
      <c r="R35" s="327">
        <v>43613</v>
      </c>
      <c r="S35" s="327">
        <v>44255</v>
      </c>
      <c r="T35" s="327">
        <v>44344</v>
      </c>
      <c r="U35" s="327"/>
      <c r="V35" s="327"/>
      <c r="W35" s="327">
        <v>44284</v>
      </c>
      <c r="X35" s="324">
        <v>48308207.100000001</v>
      </c>
      <c r="Y35" s="327" t="s">
        <v>1030</v>
      </c>
      <c r="Z35" s="327"/>
      <c r="AA35" s="327"/>
      <c r="AB35" s="322">
        <v>78</v>
      </c>
      <c r="AC35" s="314"/>
      <c r="AD35" s="314"/>
      <c r="AE35" s="314"/>
      <c r="AF35" s="314"/>
      <c r="AG35" s="312" t="s">
        <v>2254</v>
      </c>
    </row>
    <row r="36" spans="1:33" x14ac:dyDescent="0.25">
      <c r="A36" s="429"/>
      <c r="B36" s="346" t="s">
        <v>2237</v>
      </c>
      <c r="C36" s="321">
        <v>43875</v>
      </c>
      <c r="D36" s="319" t="s">
        <v>1179</v>
      </c>
      <c r="E36" s="319" t="s">
        <v>716</v>
      </c>
      <c r="F36" s="334">
        <v>960340000376</v>
      </c>
      <c r="G36" s="319" t="s">
        <v>935</v>
      </c>
      <c r="H36" s="337" t="s">
        <v>2179</v>
      </c>
      <c r="I36" s="328">
        <v>698876654</v>
      </c>
      <c r="J36" s="410">
        <v>4954</v>
      </c>
      <c r="K36" s="314"/>
      <c r="L36" s="314"/>
      <c r="M36" s="314"/>
      <c r="N36" s="321">
        <v>43880</v>
      </c>
      <c r="O36" s="334">
        <v>0</v>
      </c>
      <c r="P36" s="324">
        <v>0</v>
      </c>
      <c r="Q36" s="326" t="s">
        <v>28</v>
      </c>
      <c r="R36" s="321">
        <v>43613</v>
      </c>
      <c r="S36" s="327">
        <v>44255</v>
      </c>
      <c r="T36" s="321">
        <v>44344</v>
      </c>
      <c r="U36" s="319"/>
      <c r="V36" s="319"/>
      <c r="W36" s="321">
        <v>44284</v>
      </c>
      <c r="X36" s="324">
        <v>13977533</v>
      </c>
      <c r="Y36" s="321" t="s">
        <v>1074</v>
      </c>
      <c r="Z36" s="327"/>
      <c r="AA36" s="327"/>
      <c r="AB36" s="322">
        <v>78</v>
      </c>
      <c r="AC36" s="314"/>
      <c r="AD36" s="314"/>
      <c r="AE36" s="314"/>
      <c r="AF36" s="314"/>
      <c r="AG36" s="312" t="s">
        <v>2254</v>
      </c>
    </row>
    <row r="37" spans="1:33" x14ac:dyDescent="0.25">
      <c r="A37" s="428">
        <v>35</v>
      </c>
      <c r="B37" s="320" t="s">
        <v>951</v>
      </c>
      <c r="C37" s="321">
        <v>43665</v>
      </c>
      <c r="D37" s="319" t="s">
        <v>759</v>
      </c>
      <c r="E37" s="319" t="s">
        <v>705</v>
      </c>
      <c r="F37" s="337" t="s">
        <v>2097</v>
      </c>
      <c r="G37" s="319" t="s">
        <v>944</v>
      </c>
      <c r="H37" s="337" t="s">
        <v>2123</v>
      </c>
      <c r="I37" s="328">
        <v>4672680111</v>
      </c>
      <c r="J37" s="325">
        <v>23277.66</v>
      </c>
      <c r="K37" s="314"/>
      <c r="L37" s="314"/>
      <c r="M37" s="314"/>
      <c r="N37" s="327">
        <v>43679</v>
      </c>
      <c r="O37" s="322">
        <v>288</v>
      </c>
      <c r="P37" s="324">
        <v>267</v>
      </c>
      <c r="Q37" s="322">
        <v>12</v>
      </c>
      <c r="R37" s="327">
        <v>43651</v>
      </c>
      <c r="S37" s="327">
        <v>44058</v>
      </c>
      <c r="T37" s="327">
        <v>44150</v>
      </c>
      <c r="U37" s="327">
        <v>44242</v>
      </c>
      <c r="V37" s="327">
        <v>44331</v>
      </c>
      <c r="W37" s="327">
        <v>44321</v>
      </c>
      <c r="X37" s="324">
        <v>93453602</v>
      </c>
      <c r="Y37" s="327" t="s">
        <v>1029</v>
      </c>
      <c r="Z37" s="327"/>
      <c r="AA37" s="327"/>
      <c r="AB37" s="322">
        <v>73</v>
      </c>
      <c r="AC37" s="314"/>
      <c r="AD37" s="314"/>
      <c r="AE37" s="314"/>
      <c r="AF37" s="314"/>
      <c r="AG37" s="312" t="s">
        <v>2254</v>
      </c>
    </row>
    <row r="38" spans="1:33" x14ac:dyDescent="0.25">
      <c r="A38" s="428">
        <v>36</v>
      </c>
      <c r="B38" s="320" t="s">
        <v>927</v>
      </c>
      <c r="C38" s="321">
        <v>43726</v>
      </c>
      <c r="D38" s="319" t="s">
        <v>1179</v>
      </c>
      <c r="E38" s="322" t="s">
        <v>718</v>
      </c>
      <c r="F38" s="323" t="s">
        <v>1621</v>
      </c>
      <c r="G38" s="319" t="s">
        <v>945</v>
      </c>
      <c r="H38" s="337" t="s">
        <v>2134</v>
      </c>
      <c r="I38" s="328">
        <v>6019547133</v>
      </c>
      <c r="J38" s="325">
        <v>26723.09</v>
      </c>
      <c r="K38" s="314"/>
      <c r="L38" s="314"/>
      <c r="M38" s="314"/>
      <c r="N38" s="327">
        <v>43735</v>
      </c>
      <c r="O38" s="322">
        <v>307</v>
      </c>
      <c r="P38" s="322">
        <v>307</v>
      </c>
      <c r="Q38" s="322">
        <v>8</v>
      </c>
      <c r="R38" s="327">
        <v>43662</v>
      </c>
      <c r="S38" s="327">
        <v>44363</v>
      </c>
      <c r="T38" s="327"/>
      <c r="U38" s="327"/>
      <c r="V38" s="327"/>
      <c r="W38" s="327">
        <v>44361</v>
      </c>
      <c r="X38" s="324">
        <v>119220603</v>
      </c>
      <c r="Y38" s="327" t="s">
        <v>1028</v>
      </c>
      <c r="Z38" s="327"/>
      <c r="AA38" s="327"/>
      <c r="AB38" s="322">
        <v>91</v>
      </c>
      <c r="AC38" s="314"/>
      <c r="AD38" s="314"/>
      <c r="AE38" s="314"/>
      <c r="AF38" s="314"/>
      <c r="AG38" s="312" t="s">
        <v>2254</v>
      </c>
    </row>
    <row r="39" spans="1:33" x14ac:dyDescent="0.25">
      <c r="A39" s="428">
        <v>37</v>
      </c>
      <c r="B39" s="320" t="s">
        <v>1058</v>
      </c>
      <c r="C39" s="321">
        <v>43791</v>
      </c>
      <c r="D39" s="319" t="s">
        <v>1179</v>
      </c>
      <c r="E39" s="322" t="s">
        <v>718</v>
      </c>
      <c r="F39" s="323" t="s">
        <v>1621</v>
      </c>
      <c r="G39" s="319" t="s">
        <v>939</v>
      </c>
      <c r="H39" s="337" t="s">
        <v>2205</v>
      </c>
      <c r="I39" s="328">
        <v>3663548205</v>
      </c>
      <c r="J39" s="325">
        <v>19815.5</v>
      </c>
      <c r="K39" s="314"/>
      <c r="L39" s="314"/>
      <c r="M39" s="314"/>
      <c r="N39" s="327">
        <v>43791</v>
      </c>
      <c r="O39" s="322">
        <v>278</v>
      </c>
      <c r="P39" s="322">
        <v>278</v>
      </c>
      <c r="Q39" s="322" t="s">
        <v>153</v>
      </c>
      <c r="R39" s="327">
        <v>43759</v>
      </c>
      <c r="S39" s="327">
        <v>44393</v>
      </c>
      <c r="T39" s="327"/>
      <c r="U39" s="327"/>
      <c r="V39" s="327"/>
      <c r="W39" s="327">
        <v>44363</v>
      </c>
      <c r="X39" s="324">
        <v>72343291</v>
      </c>
      <c r="Y39" s="327" t="s">
        <v>2035</v>
      </c>
      <c r="Z39" s="327"/>
      <c r="AA39" s="327"/>
      <c r="AB39" s="322">
        <v>91</v>
      </c>
      <c r="AC39" s="314"/>
      <c r="AD39" s="314"/>
      <c r="AE39" s="314"/>
      <c r="AF39" s="314"/>
      <c r="AG39" s="312" t="s">
        <v>2254</v>
      </c>
    </row>
    <row r="40" spans="1:33" x14ac:dyDescent="0.25">
      <c r="A40" s="428">
        <v>38</v>
      </c>
      <c r="B40" s="320" t="s">
        <v>1059</v>
      </c>
      <c r="C40" s="321">
        <v>43748</v>
      </c>
      <c r="D40" s="319" t="s">
        <v>1179</v>
      </c>
      <c r="E40" s="322" t="s">
        <v>718</v>
      </c>
      <c r="F40" s="323" t="s">
        <v>1621</v>
      </c>
      <c r="G40" s="319" t="s">
        <v>939</v>
      </c>
      <c r="H40" s="337" t="s">
        <v>2205</v>
      </c>
      <c r="I40" s="328">
        <v>5814608330</v>
      </c>
      <c r="J40" s="325">
        <v>32516</v>
      </c>
      <c r="K40" s="314"/>
      <c r="L40" s="314"/>
      <c r="M40" s="314"/>
      <c r="N40" s="327">
        <v>43749</v>
      </c>
      <c r="O40" s="322">
        <v>408</v>
      </c>
      <c r="P40" s="322">
        <v>408</v>
      </c>
      <c r="Q40" s="322">
        <v>22</v>
      </c>
      <c r="R40" s="327">
        <v>43704</v>
      </c>
      <c r="S40" s="327">
        <v>44496</v>
      </c>
      <c r="T40" s="327"/>
      <c r="U40" s="327"/>
      <c r="V40" s="327"/>
      <c r="W40" s="327">
        <v>44347</v>
      </c>
      <c r="X40" s="324">
        <v>114777807</v>
      </c>
      <c r="Y40" s="327" t="s">
        <v>1027</v>
      </c>
      <c r="Z40" s="327"/>
      <c r="AA40" s="327"/>
      <c r="AB40" s="322">
        <v>91</v>
      </c>
      <c r="AC40" s="314"/>
      <c r="AD40" s="314"/>
      <c r="AE40" s="314"/>
      <c r="AF40" s="314"/>
      <c r="AG40" s="312" t="s">
        <v>2254</v>
      </c>
    </row>
    <row r="41" spans="1:33" x14ac:dyDescent="0.25">
      <c r="A41" s="428">
        <v>39</v>
      </c>
      <c r="B41" s="320" t="s">
        <v>928</v>
      </c>
      <c r="C41" s="321">
        <v>43777</v>
      </c>
      <c r="D41" s="319" t="s">
        <v>753</v>
      </c>
      <c r="E41" s="322" t="s">
        <v>718</v>
      </c>
      <c r="F41" s="323" t="s">
        <v>1621</v>
      </c>
      <c r="G41" s="319" t="s">
        <v>946</v>
      </c>
      <c r="H41" s="337" t="s">
        <v>2200</v>
      </c>
      <c r="I41" s="328">
        <v>6837749056</v>
      </c>
      <c r="J41" s="325">
        <v>32575.200000000001</v>
      </c>
      <c r="K41" s="314"/>
      <c r="L41" s="314"/>
      <c r="M41" s="314"/>
      <c r="N41" s="327">
        <v>43783</v>
      </c>
      <c r="O41" s="322">
        <v>431</v>
      </c>
      <c r="P41" s="322">
        <v>431</v>
      </c>
      <c r="Q41" s="322">
        <v>12.16</v>
      </c>
      <c r="R41" s="327">
        <v>43731</v>
      </c>
      <c r="S41" s="327" t="s">
        <v>1320</v>
      </c>
      <c r="T41" s="327">
        <v>44426</v>
      </c>
      <c r="U41" s="327"/>
      <c r="V41" s="327"/>
      <c r="W41" s="327">
        <v>44376</v>
      </c>
      <c r="X41" s="324">
        <v>134440701</v>
      </c>
      <c r="Y41" s="327" t="s">
        <v>1026</v>
      </c>
      <c r="Z41" s="327"/>
      <c r="AA41" s="327"/>
      <c r="AB41" s="322">
        <v>91</v>
      </c>
      <c r="AC41" s="314"/>
      <c r="AD41" s="314"/>
      <c r="AE41" s="314"/>
      <c r="AF41" s="314"/>
      <c r="AG41" s="312" t="s">
        <v>2254</v>
      </c>
    </row>
    <row r="42" spans="1:33" x14ac:dyDescent="0.25">
      <c r="A42" s="428">
        <v>40</v>
      </c>
      <c r="B42" s="320" t="s">
        <v>929</v>
      </c>
      <c r="C42" s="321">
        <v>43748</v>
      </c>
      <c r="D42" s="319" t="s">
        <v>1179</v>
      </c>
      <c r="E42" s="322" t="s">
        <v>718</v>
      </c>
      <c r="F42" s="323" t="s">
        <v>1621</v>
      </c>
      <c r="G42" s="319" t="s">
        <v>864</v>
      </c>
      <c r="H42" s="337" t="s">
        <v>2172</v>
      </c>
      <c r="I42" s="328">
        <v>6825821599</v>
      </c>
      <c r="J42" s="325">
        <v>34967.370000000003</v>
      </c>
      <c r="K42" s="314"/>
      <c r="L42" s="314"/>
      <c r="M42" s="314"/>
      <c r="N42" s="327">
        <v>43759</v>
      </c>
      <c r="O42" s="322">
        <v>291</v>
      </c>
      <c r="P42" s="322">
        <v>291</v>
      </c>
      <c r="Q42" s="322" t="s">
        <v>151</v>
      </c>
      <c r="R42" s="327">
        <v>43692</v>
      </c>
      <c r="S42" s="327" t="s">
        <v>984</v>
      </c>
      <c r="T42" s="327">
        <v>44290</v>
      </c>
      <c r="U42" s="327">
        <v>44381</v>
      </c>
      <c r="V42" s="327">
        <v>44473</v>
      </c>
      <c r="W42" s="327">
        <v>44411</v>
      </c>
      <c r="X42" s="324">
        <v>132982359</v>
      </c>
      <c r="Y42" s="327" t="s">
        <v>1025</v>
      </c>
      <c r="Z42" s="327"/>
      <c r="AA42" s="327"/>
      <c r="AB42" s="322">
        <v>91</v>
      </c>
      <c r="AC42" s="314"/>
      <c r="AD42" s="314"/>
      <c r="AE42" s="314"/>
      <c r="AF42" s="314"/>
      <c r="AG42" s="312" t="s">
        <v>2254</v>
      </c>
    </row>
    <row r="43" spans="1:33" x14ac:dyDescent="0.25">
      <c r="A43" s="429"/>
      <c r="B43" s="346" t="s">
        <v>2238</v>
      </c>
      <c r="C43" s="338">
        <v>43936</v>
      </c>
      <c r="D43" s="319" t="s">
        <v>1179</v>
      </c>
      <c r="E43" s="322" t="s">
        <v>718</v>
      </c>
      <c r="F43" s="323" t="s">
        <v>1621</v>
      </c>
      <c r="G43" s="322" t="s">
        <v>864</v>
      </c>
      <c r="H43" s="337" t="s">
        <v>2172</v>
      </c>
      <c r="I43" s="328">
        <v>1323442100</v>
      </c>
      <c r="J43" s="437">
        <v>0</v>
      </c>
      <c r="K43" s="439"/>
      <c r="L43" s="439"/>
      <c r="M43" s="439"/>
      <c r="N43" s="338">
        <v>43970</v>
      </c>
      <c r="O43" s="456">
        <v>0</v>
      </c>
      <c r="P43" s="456">
        <v>0</v>
      </c>
      <c r="Q43" s="340" t="s">
        <v>38</v>
      </c>
      <c r="R43" s="338">
        <v>43928</v>
      </c>
      <c r="S43" s="422">
        <v>44658</v>
      </c>
      <c r="T43" s="340"/>
      <c r="U43" s="340"/>
      <c r="V43" s="340"/>
      <c r="W43" s="338">
        <v>44411</v>
      </c>
      <c r="X43" s="456">
        <v>26468842</v>
      </c>
      <c r="Y43" s="422" t="s">
        <v>1064</v>
      </c>
      <c r="Z43" s="338"/>
      <c r="AA43" s="338"/>
      <c r="AB43" s="458">
        <v>91</v>
      </c>
      <c r="AC43" s="439"/>
      <c r="AD43" s="439"/>
      <c r="AE43" s="439"/>
      <c r="AF43" s="439"/>
      <c r="AG43" s="312" t="s">
        <v>2254</v>
      </c>
    </row>
    <row r="44" spans="1:33" x14ac:dyDescent="0.25">
      <c r="A44" s="428">
        <v>41</v>
      </c>
      <c r="B44" s="320" t="s">
        <v>930</v>
      </c>
      <c r="C44" s="338">
        <v>43748</v>
      </c>
      <c r="D44" s="319" t="s">
        <v>1179</v>
      </c>
      <c r="E44" s="319" t="s">
        <v>950</v>
      </c>
      <c r="F44" s="337" t="s">
        <v>1641</v>
      </c>
      <c r="G44" s="319" t="s">
        <v>947</v>
      </c>
      <c r="H44" s="337"/>
      <c r="I44" s="328">
        <v>5253239788</v>
      </c>
      <c r="J44" s="437">
        <v>38863.78</v>
      </c>
      <c r="K44" s="439"/>
      <c r="L44" s="439"/>
      <c r="M44" s="439"/>
      <c r="N44" s="422">
        <v>43755</v>
      </c>
      <c r="O44" s="458">
        <v>346</v>
      </c>
      <c r="P44" s="458">
        <v>348</v>
      </c>
      <c r="Q44" s="458">
        <v>13</v>
      </c>
      <c r="R44" s="422">
        <v>43721</v>
      </c>
      <c r="S44" s="422">
        <v>44324</v>
      </c>
      <c r="T44" s="422">
        <v>44416</v>
      </c>
      <c r="U44" s="422">
        <v>44508</v>
      </c>
      <c r="V44" s="422"/>
      <c r="W44" s="422">
        <v>44494</v>
      </c>
      <c r="X44" s="456">
        <v>93660141</v>
      </c>
      <c r="Y44" s="422" t="s">
        <v>1024</v>
      </c>
      <c r="Z44" s="422"/>
      <c r="AA44" s="327"/>
      <c r="AB44" s="458">
        <v>75</v>
      </c>
      <c r="AC44" s="439"/>
      <c r="AD44" s="439"/>
      <c r="AE44" s="439"/>
      <c r="AF44" s="439"/>
      <c r="AG44" s="312" t="s">
        <v>2254</v>
      </c>
    </row>
    <row r="45" spans="1:33" x14ac:dyDescent="0.25">
      <c r="A45" s="428">
        <v>42</v>
      </c>
      <c r="B45" s="320" t="s">
        <v>931</v>
      </c>
      <c r="C45" s="321">
        <v>43777</v>
      </c>
      <c r="D45" s="319" t="s">
        <v>1179</v>
      </c>
      <c r="E45" s="319" t="s">
        <v>716</v>
      </c>
      <c r="F45" s="334">
        <v>960340000376</v>
      </c>
      <c r="G45" s="319" t="s">
        <v>1755</v>
      </c>
      <c r="H45" s="337" t="s">
        <v>2124</v>
      </c>
      <c r="I45" s="328">
        <v>2439912400</v>
      </c>
      <c r="J45" s="437">
        <v>19742.650000000001</v>
      </c>
      <c r="K45" s="439"/>
      <c r="L45" s="439"/>
      <c r="M45" s="439"/>
      <c r="N45" s="422">
        <v>43802</v>
      </c>
      <c r="O45" s="458">
        <v>165</v>
      </c>
      <c r="P45" s="458">
        <v>165</v>
      </c>
      <c r="Q45" s="458">
        <v>9</v>
      </c>
      <c r="R45" s="422">
        <v>43635</v>
      </c>
      <c r="S45" s="422">
        <v>44123</v>
      </c>
      <c r="T45" s="422">
        <v>44215</v>
      </c>
      <c r="U45" s="422">
        <v>44305</v>
      </c>
      <c r="V45" s="422"/>
      <c r="W45" s="422">
        <v>44637</v>
      </c>
      <c r="X45" s="456">
        <v>47152489</v>
      </c>
      <c r="Y45" s="422" t="s">
        <v>665</v>
      </c>
      <c r="Z45" s="456">
        <v>820792616</v>
      </c>
      <c r="AA45" s="327" t="s">
        <v>658</v>
      </c>
      <c r="AB45" s="458">
        <v>78</v>
      </c>
      <c r="AC45" s="439"/>
      <c r="AD45" s="439"/>
      <c r="AE45" s="439"/>
      <c r="AF45" s="439"/>
      <c r="AG45" s="312" t="s">
        <v>2254</v>
      </c>
    </row>
    <row r="46" spans="1:33" x14ac:dyDescent="0.25">
      <c r="A46" s="428">
        <v>43</v>
      </c>
      <c r="B46" s="320" t="s">
        <v>913</v>
      </c>
      <c r="C46" s="338">
        <v>43875</v>
      </c>
      <c r="D46" s="319" t="s">
        <v>1179</v>
      </c>
      <c r="E46" s="319" t="s">
        <v>948</v>
      </c>
      <c r="F46" s="337" t="s">
        <v>2103</v>
      </c>
      <c r="G46" s="319" t="s">
        <v>932</v>
      </c>
      <c r="H46" s="337" t="s">
        <v>2126</v>
      </c>
      <c r="I46" s="328">
        <v>1604244431</v>
      </c>
      <c r="J46" s="437">
        <v>9352.08</v>
      </c>
      <c r="K46" s="439"/>
      <c r="L46" s="439"/>
      <c r="M46" s="439"/>
      <c r="N46" s="338">
        <v>43878</v>
      </c>
      <c r="O46" s="456">
        <v>106</v>
      </c>
      <c r="P46" s="456">
        <v>106</v>
      </c>
      <c r="Q46" s="340">
        <v>7</v>
      </c>
      <c r="R46" s="338">
        <v>43851</v>
      </c>
      <c r="S46" s="422">
        <v>44161</v>
      </c>
      <c r="T46" s="338">
        <v>44165</v>
      </c>
      <c r="U46" s="340"/>
      <c r="V46" s="340"/>
      <c r="W46" s="338">
        <v>44165</v>
      </c>
      <c r="X46" s="456">
        <v>44498721</v>
      </c>
      <c r="Y46" s="422" t="s">
        <v>1077</v>
      </c>
      <c r="Z46" s="422"/>
      <c r="AA46" s="327"/>
      <c r="AB46" s="458">
        <v>91</v>
      </c>
      <c r="AC46" s="439"/>
      <c r="AD46" s="439"/>
      <c r="AE46" s="439"/>
      <c r="AF46" s="439"/>
      <c r="AG46" s="312" t="s">
        <v>2254</v>
      </c>
    </row>
    <row r="47" spans="1:33" x14ac:dyDescent="0.25">
      <c r="A47" s="432">
        <v>44</v>
      </c>
      <c r="B47" s="320" t="s">
        <v>912</v>
      </c>
      <c r="C47" s="341">
        <v>43875</v>
      </c>
      <c r="D47" s="319" t="s">
        <v>1179</v>
      </c>
      <c r="E47" s="319" t="s">
        <v>948</v>
      </c>
      <c r="F47" s="337" t="s">
        <v>2103</v>
      </c>
      <c r="G47" s="319" t="s">
        <v>932</v>
      </c>
      <c r="H47" s="337" t="s">
        <v>2126</v>
      </c>
      <c r="I47" s="328">
        <v>1643232216</v>
      </c>
      <c r="J47" s="325">
        <v>9309.83</v>
      </c>
      <c r="K47" s="439"/>
      <c r="L47" s="439"/>
      <c r="M47" s="439"/>
      <c r="N47" s="338">
        <v>43878</v>
      </c>
      <c r="O47" s="324">
        <v>107</v>
      </c>
      <c r="P47" s="456">
        <v>107</v>
      </c>
      <c r="Q47" s="340">
        <v>7</v>
      </c>
      <c r="R47" s="338">
        <v>43852</v>
      </c>
      <c r="S47" s="422">
        <v>44161</v>
      </c>
      <c r="T47" s="338">
        <v>44165</v>
      </c>
      <c r="U47" s="340"/>
      <c r="V47" s="340"/>
      <c r="W47" s="338">
        <v>44165</v>
      </c>
      <c r="X47" s="456"/>
      <c r="Y47" s="422"/>
      <c r="Z47" s="422"/>
      <c r="AA47" s="327"/>
      <c r="AB47" s="458">
        <v>91</v>
      </c>
      <c r="AC47" s="439"/>
      <c r="AD47" s="439"/>
      <c r="AE47" s="439"/>
      <c r="AF47" s="439"/>
      <c r="AG47" s="312" t="s">
        <v>2254</v>
      </c>
    </row>
    <row r="48" spans="1:33" x14ac:dyDescent="0.25">
      <c r="A48" s="428">
        <v>45</v>
      </c>
      <c r="B48" s="320" t="s">
        <v>911</v>
      </c>
      <c r="C48" s="321">
        <v>43860</v>
      </c>
      <c r="D48" s="319" t="s">
        <v>753</v>
      </c>
      <c r="E48" s="319" t="s">
        <v>949</v>
      </c>
      <c r="F48" s="323" t="s">
        <v>2100</v>
      </c>
      <c r="G48" s="319" t="s">
        <v>933</v>
      </c>
      <c r="H48" s="337" t="s">
        <v>2210</v>
      </c>
      <c r="I48" s="328">
        <v>7211511710</v>
      </c>
      <c r="J48" s="325">
        <v>78453.75</v>
      </c>
      <c r="K48" s="439"/>
      <c r="L48" s="439"/>
      <c r="M48" s="439"/>
      <c r="N48" s="338">
        <v>43862</v>
      </c>
      <c r="O48" s="456">
        <v>1122</v>
      </c>
      <c r="P48" s="456">
        <v>1248</v>
      </c>
      <c r="Q48" s="340">
        <v>9</v>
      </c>
      <c r="R48" s="338">
        <v>43711</v>
      </c>
      <c r="S48" s="422">
        <v>44187</v>
      </c>
      <c r="T48" s="340"/>
      <c r="U48" s="340"/>
      <c r="V48" s="340"/>
      <c r="W48" s="338">
        <v>44187</v>
      </c>
      <c r="X48" s="456">
        <v>129729726</v>
      </c>
      <c r="Y48" s="422"/>
      <c r="Z48" s="422"/>
      <c r="AA48" s="327"/>
      <c r="AB48" s="458">
        <v>84</v>
      </c>
      <c r="AC48" s="439"/>
      <c r="AD48" s="439"/>
      <c r="AE48" s="439"/>
      <c r="AF48" s="439"/>
      <c r="AG48" s="312" t="s">
        <v>2254</v>
      </c>
    </row>
    <row r="49" spans="1:33" x14ac:dyDescent="0.25">
      <c r="A49" s="432">
        <v>46</v>
      </c>
      <c r="B49" s="320" t="s">
        <v>910</v>
      </c>
      <c r="C49" s="341">
        <v>43860</v>
      </c>
      <c r="D49" s="319" t="s">
        <v>753</v>
      </c>
      <c r="E49" s="319" t="s">
        <v>949</v>
      </c>
      <c r="F49" s="323" t="s">
        <v>2100</v>
      </c>
      <c r="G49" s="319" t="s">
        <v>934</v>
      </c>
      <c r="H49" s="337" t="s">
        <v>2195</v>
      </c>
      <c r="I49" s="328">
        <v>4696993688</v>
      </c>
      <c r="J49" s="325">
        <v>35931.5</v>
      </c>
      <c r="K49" s="439"/>
      <c r="L49" s="439"/>
      <c r="M49" s="439"/>
      <c r="N49" s="338">
        <v>43862</v>
      </c>
      <c r="O49" s="324">
        <v>576</v>
      </c>
      <c r="P49" s="456">
        <v>624</v>
      </c>
      <c r="Q49" s="340">
        <v>12</v>
      </c>
      <c r="R49" s="338">
        <v>43843</v>
      </c>
      <c r="S49" s="422">
        <v>44188</v>
      </c>
      <c r="T49" s="338"/>
      <c r="U49" s="340"/>
      <c r="V49" s="340"/>
      <c r="W49" s="338">
        <v>44188</v>
      </c>
      <c r="X49" s="456">
        <v>93939874</v>
      </c>
      <c r="Y49" s="422" t="s">
        <v>1076</v>
      </c>
      <c r="Z49" s="422"/>
      <c r="AA49" s="327"/>
      <c r="AB49" s="458">
        <v>84</v>
      </c>
      <c r="AC49" s="439"/>
      <c r="AD49" s="439"/>
      <c r="AE49" s="439"/>
      <c r="AF49" s="439"/>
      <c r="AG49" s="312" t="s">
        <v>2254</v>
      </c>
    </row>
    <row r="50" spans="1:33" x14ac:dyDescent="0.25">
      <c r="A50" s="432">
        <v>47</v>
      </c>
      <c r="B50" s="320" t="s">
        <v>1075</v>
      </c>
      <c r="C50" s="342">
        <v>43970</v>
      </c>
      <c r="D50" s="319" t="s">
        <v>176</v>
      </c>
      <c r="E50" s="319" t="s">
        <v>892</v>
      </c>
      <c r="F50" s="337" t="s">
        <v>2095</v>
      </c>
      <c r="G50" s="319" t="s">
        <v>868</v>
      </c>
      <c r="H50" s="337" t="s">
        <v>2174</v>
      </c>
      <c r="I50" s="328">
        <v>405171695</v>
      </c>
      <c r="J50" s="437">
        <v>2903</v>
      </c>
      <c r="K50" s="439"/>
      <c r="L50" s="439"/>
      <c r="M50" s="439"/>
      <c r="N50" s="338">
        <v>43992</v>
      </c>
      <c r="O50" s="324">
        <v>40</v>
      </c>
      <c r="P50" s="456">
        <v>40</v>
      </c>
      <c r="Q50" s="340">
        <v>4</v>
      </c>
      <c r="R50" s="338">
        <v>43903</v>
      </c>
      <c r="S50" s="422" t="s">
        <v>985</v>
      </c>
      <c r="T50" s="338">
        <v>44222</v>
      </c>
      <c r="U50" s="340"/>
      <c r="V50" s="340"/>
      <c r="W50" s="338">
        <v>44196</v>
      </c>
      <c r="X50" s="456">
        <v>6007292</v>
      </c>
      <c r="Y50" s="422" t="s">
        <v>2251</v>
      </c>
      <c r="Z50" s="422"/>
      <c r="AA50" s="327"/>
      <c r="AB50" s="458">
        <v>80</v>
      </c>
      <c r="AC50" s="439"/>
      <c r="AD50" s="439"/>
      <c r="AE50" s="439"/>
      <c r="AF50" s="439"/>
      <c r="AG50" s="312" t="s">
        <v>2254</v>
      </c>
    </row>
    <row r="51" spans="1:33" x14ac:dyDescent="0.25">
      <c r="A51" s="433">
        <v>48</v>
      </c>
      <c r="B51" s="320" t="s">
        <v>909</v>
      </c>
      <c r="C51" s="342">
        <v>44070</v>
      </c>
      <c r="D51" s="319" t="s">
        <v>174</v>
      </c>
      <c r="E51" s="322" t="s">
        <v>693</v>
      </c>
      <c r="F51" s="337" t="s">
        <v>1643</v>
      </c>
      <c r="G51" s="322" t="s">
        <v>876</v>
      </c>
      <c r="H51" s="323" t="s">
        <v>2030</v>
      </c>
      <c r="I51" s="328">
        <v>2099777543</v>
      </c>
      <c r="J51" s="325">
        <v>10658</v>
      </c>
      <c r="K51" s="439"/>
      <c r="L51" s="439"/>
      <c r="M51" s="439"/>
      <c r="N51" s="338">
        <v>44088</v>
      </c>
      <c r="O51" s="456">
        <v>140</v>
      </c>
      <c r="P51" s="456">
        <v>140</v>
      </c>
      <c r="Q51" s="340">
        <v>5</v>
      </c>
      <c r="R51" s="338">
        <v>43999</v>
      </c>
      <c r="S51" s="422">
        <v>44244</v>
      </c>
      <c r="T51" s="338">
        <v>44303</v>
      </c>
      <c r="U51" s="340"/>
      <c r="V51" s="340"/>
      <c r="W51" s="338">
        <v>44301</v>
      </c>
      <c r="X51" s="456">
        <v>39779893</v>
      </c>
      <c r="Y51" s="338" t="s">
        <v>1073</v>
      </c>
      <c r="Z51" s="338"/>
      <c r="AA51" s="321"/>
      <c r="AB51" s="458">
        <v>62</v>
      </c>
      <c r="AC51" s="439"/>
      <c r="AD51" s="439"/>
      <c r="AE51" s="439"/>
      <c r="AF51" s="439"/>
      <c r="AG51" s="312" t="s">
        <v>2254</v>
      </c>
    </row>
    <row r="52" spans="1:33" x14ac:dyDescent="0.25">
      <c r="A52" s="433">
        <v>49</v>
      </c>
      <c r="B52" s="343" t="s">
        <v>908</v>
      </c>
      <c r="C52" s="342">
        <v>43875</v>
      </c>
      <c r="D52" s="319" t="s">
        <v>1179</v>
      </c>
      <c r="E52" s="322" t="s">
        <v>695</v>
      </c>
      <c r="F52" s="334">
        <v>960340000376</v>
      </c>
      <c r="G52" s="340" t="s">
        <v>717</v>
      </c>
      <c r="H52" s="344" t="s">
        <v>1967</v>
      </c>
      <c r="I52" s="339">
        <v>2565255008</v>
      </c>
      <c r="J52" s="437">
        <v>18164</v>
      </c>
      <c r="K52" s="439"/>
      <c r="L52" s="439"/>
      <c r="M52" s="439"/>
      <c r="N52" s="338">
        <v>43889</v>
      </c>
      <c r="O52" s="456">
        <v>128</v>
      </c>
      <c r="P52" s="456">
        <v>128</v>
      </c>
      <c r="Q52" s="340">
        <v>9.1199999999999992</v>
      </c>
      <c r="R52" s="338">
        <v>43803</v>
      </c>
      <c r="S52" s="422">
        <v>44160</v>
      </c>
      <c r="T52" s="338">
        <v>44252</v>
      </c>
      <c r="U52" s="338">
        <v>44341</v>
      </c>
      <c r="V52" s="340"/>
      <c r="W52" s="338">
        <v>44301</v>
      </c>
      <c r="X52" s="456">
        <v>41256420</v>
      </c>
      <c r="Y52" s="338" t="s">
        <v>1072</v>
      </c>
      <c r="Z52" s="338"/>
      <c r="AA52" s="321"/>
      <c r="AB52" s="458">
        <v>78</v>
      </c>
      <c r="AC52" s="439"/>
      <c r="AD52" s="439"/>
      <c r="AE52" s="439"/>
      <c r="AF52" s="439"/>
      <c r="AG52" s="312" t="s">
        <v>2254</v>
      </c>
    </row>
    <row r="53" spans="1:33" x14ac:dyDescent="0.25">
      <c r="A53" s="429">
        <v>50</v>
      </c>
      <c r="B53" s="320" t="s">
        <v>907</v>
      </c>
      <c r="C53" s="321">
        <v>43927</v>
      </c>
      <c r="D53" s="319" t="s">
        <v>753</v>
      </c>
      <c r="E53" s="322" t="s">
        <v>715</v>
      </c>
      <c r="F53" s="337" t="s">
        <v>1628</v>
      </c>
      <c r="G53" s="322" t="s">
        <v>817</v>
      </c>
      <c r="H53" s="323" t="s">
        <v>1628</v>
      </c>
      <c r="I53" s="328">
        <v>3041291058</v>
      </c>
      <c r="J53" s="325">
        <v>15462.72</v>
      </c>
      <c r="N53" s="321">
        <v>43950</v>
      </c>
      <c r="O53" s="324">
        <v>288</v>
      </c>
      <c r="P53" s="324">
        <v>283</v>
      </c>
      <c r="Q53" s="319">
        <v>9</v>
      </c>
      <c r="R53" s="321">
        <v>43866</v>
      </c>
      <c r="S53" s="327">
        <v>44345</v>
      </c>
      <c r="T53" s="321">
        <v>44437</v>
      </c>
      <c r="U53" s="319"/>
      <c r="V53" s="319"/>
      <c r="W53" s="321">
        <v>44329</v>
      </c>
      <c r="X53" s="324">
        <v>60823921</v>
      </c>
      <c r="Y53" s="321" t="s">
        <v>1071</v>
      </c>
      <c r="Z53" s="321"/>
      <c r="AA53" s="321"/>
      <c r="AB53" s="322">
        <v>70</v>
      </c>
      <c r="AG53" s="312" t="s">
        <v>2254</v>
      </c>
    </row>
    <row r="54" spans="1:33" x14ac:dyDescent="0.25">
      <c r="A54" s="429">
        <v>51</v>
      </c>
      <c r="B54" s="320" t="s">
        <v>1067</v>
      </c>
      <c r="C54" s="321">
        <v>43481</v>
      </c>
      <c r="D54" s="319" t="s">
        <v>1179</v>
      </c>
      <c r="E54" s="322" t="s">
        <v>716</v>
      </c>
      <c r="F54" s="334">
        <v>960340000376</v>
      </c>
      <c r="G54" s="322" t="s">
        <v>865</v>
      </c>
      <c r="H54" s="323" t="s">
        <v>1670</v>
      </c>
      <c r="I54" s="328">
        <v>1991352860</v>
      </c>
      <c r="J54" s="325">
        <v>10697.91</v>
      </c>
      <c r="N54" s="321">
        <v>43867</v>
      </c>
      <c r="O54" s="324">
        <v>78</v>
      </c>
      <c r="P54" s="324">
        <v>78</v>
      </c>
      <c r="Q54" s="319">
        <v>7</v>
      </c>
      <c r="R54" s="321">
        <v>43783</v>
      </c>
      <c r="S54" s="327">
        <v>44227</v>
      </c>
      <c r="T54" s="319"/>
      <c r="U54" s="319"/>
      <c r="V54" s="319"/>
      <c r="W54" s="321">
        <v>44214</v>
      </c>
      <c r="X54" s="324">
        <v>38237857</v>
      </c>
      <c r="Y54" s="321" t="s">
        <v>1070</v>
      </c>
      <c r="Z54" s="321"/>
      <c r="AA54" s="321"/>
      <c r="AB54" s="322">
        <v>78</v>
      </c>
      <c r="AG54" s="312" t="s">
        <v>2254</v>
      </c>
    </row>
    <row r="55" spans="1:33" x14ac:dyDescent="0.25">
      <c r="A55" s="429">
        <v>52</v>
      </c>
      <c r="B55" s="320" t="s">
        <v>1066</v>
      </c>
      <c r="C55" s="321">
        <v>43860</v>
      </c>
      <c r="D55" s="319" t="s">
        <v>1179</v>
      </c>
      <c r="E55" s="322" t="s">
        <v>718</v>
      </c>
      <c r="F55" s="323" t="s">
        <v>1621</v>
      </c>
      <c r="G55" s="322" t="s">
        <v>936</v>
      </c>
      <c r="H55" s="323" t="s">
        <v>2202</v>
      </c>
      <c r="I55" s="328">
        <v>5762175734</v>
      </c>
      <c r="J55" s="325">
        <v>27870</v>
      </c>
      <c r="N55" s="321">
        <v>43866</v>
      </c>
      <c r="O55" s="324">
        <v>348</v>
      </c>
      <c r="P55" s="324">
        <v>348</v>
      </c>
      <c r="Q55" s="319">
        <v>9</v>
      </c>
      <c r="R55" s="321">
        <v>43769</v>
      </c>
      <c r="S55" s="327">
        <v>44469</v>
      </c>
      <c r="T55" s="319"/>
      <c r="U55" s="319"/>
      <c r="V55" s="319"/>
      <c r="W55" s="321">
        <v>44352</v>
      </c>
      <c r="X55" s="324">
        <v>110205578</v>
      </c>
      <c r="Y55" s="321" t="s">
        <v>1068</v>
      </c>
      <c r="Z55" s="321"/>
      <c r="AA55" s="321"/>
      <c r="AB55" s="322">
        <v>91</v>
      </c>
      <c r="AG55" s="312" t="s">
        <v>2254</v>
      </c>
    </row>
    <row r="56" spans="1:33" x14ac:dyDescent="0.25">
      <c r="A56" s="429"/>
      <c r="B56" s="346" t="s">
        <v>2239</v>
      </c>
      <c r="C56" s="321">
        <v>44007</v>
      </c>
      <c r="D56" s="319" t="s">
        <v>1179</v>
      </c>
      <c r="E56" s="322" t="s">
        <v>718</v>
      </c>
      <c r="F56" s="323" t="s">
        <v>1621</v>
      </c>
      <c r="G56" s="322" t="s">
        <v>936</v>
      </c>
      <c r="H56" s="323" t="s">
        <v>2202</v>
      </c>
      <c r="I56" s="328">
        <v>737891954</v>
      </c>
      <c r="J56" s="332">
        <v>0</v>
      </c>
      <c r="N56" s="321">
        <v>44025</v>
      </c>
      <c r="O56" s="326">
        <v>0</v>
      </c>
      <c r="P56" s="415">
        <v>0</v>
      </c>
      <c r="Q56" s="326" t="s">
        <v>28</v>
      </c>
      <c r="R56" s="321">
        <v>43983</v>
      </c>
      <c r="S56" s="327">
        <v>44469</v>
      </c>
      <c r="T56" s="319"/>
      <c r="U56" s="319"/>
      <c r="V56" s="319"/>
      <c r="W56" s="321">
        <v>44352</v>
      </c>
      <c r="X56" s="324">
        <v>14757839</v>
      </c>
      <c r="Y56" s="321" t="s">
        <v>1069</v>
      </c>
      <c r="Z56" s="321"/>
      <c r="AA56" s="321"/>
      <c r="AB56" s="322">
        <v>91</v>
      </c>
      <c r="AG56" s="312" t="s">
        <v>2254</v>
      </c>
    </row>
    <row r="57" spans="1:33" x14ac:dyDescent="0.25">
      <c r="A57" s="429">
        <v>53</v>
      </c>
      <c r="B57" s="320" t="s">
        <v>906</v>
      </c>
      <c r="C57" s="321">
        <v>43998</v>
      </c>
      <c r="D57" s="319" t="s">
        <v>753</v>
      </c>
      <c r="E57" s="322" t="s">
        <v>685</v>
      </c>
      <c r="F57" s="337" t="s">
        <v>1955</v>
      </c>
      <c r="G57" s="322" t="s">
        <v>688</v>
      </c>
      <c r="H57" s="323" t="s">
        <v>2187</v>
      </c>
      <c r="I57" s="328">
        <v>7001848587</v>
      </c>
      <c r="J57" s="325">
        <v>55789.440000000002</v>
      </c>
      <c r="N57" s="321">
        <v>43999</v>
      </c>
      <c r="O57" s="324">
        <v>864</v>
      </c>
      <c r="P57" s="324">
        <v>960</v>
      </c>
      <c r="Q57" s="319">
        <v>9</v>
      </c>
      <c r="R57" s="321">
        <v>43977</v>
      </c>
      <c r="S57" s="327">
        <v>44357</v>
      </c>
      <c r="T57" s="321">
        <v>44460</v>
      </c>
      <c r="U57" s="319"/>
      <c r="V57" s="319"/>
      <c r="W57" s="321">
        <v>44449</v>
      </c>
      <c r="X57" s="324">
        <v>140036972</v>
      </c>
      <c r="Y57" s="321" t="s">
        <v>1065</v>
      </c>
      <c r="Z57" s="321"/>
      <c r="AA57" s="321"/>
      <c r="AB57" s="322">
        <v>95</v>
      </c>
      <c r="AG57" s="312" t="s">
        <v>2254</v>
      </c>
    </row>
    <row r="58" spans="1:33" x14ac:dyDescent="0.25">
      <c r="A58" s="429">
        <v>54</v>
      </c>
      <c r="B58" s="320" t="s">
        <v>1062</v>
      </c>
      <c r="C58" s="321">
        <v>43860</v>
      </c>
      <c r="D58" s="319" t="s">
        <v>1179</v>
      </c>
      <c r="E58" s="322" t="s">
        <v>718</v>
      </c>
      <c r="F58" s="323" t="s">
        <v>1621</v>
      </c>
      <c r="G58" s="322" t="s">
        <v>937</v>
      </c>
      <c r="H58" s="323" t="s">
        <v>2164</v>
      </c>
      <c r="I58" s="328">
        <v>5840045029</v>
      </c>
      <c r="J58" s="325">
        <v>31002.69</v>
      </c>
      <c r="N58" s="321">
        <v>43866</v>
      </c>
      <c r="O58" s="324">
        <v>334</v>
      </c>
      <c r="P58" s="324">
        <v>334</v>
      </c>
      <c r="Q58" s="319" t="s">
        <v>101</v>
      </c>
      <c r="R58" s="321">
        <v>43839</v>
      </c>
      <c r="S58" s="327">
        <v>44570</v>
      </c>
      <c r="T58" s="319"/>
      <c r="U58" s="319"/>
      <c r="V58" s="319"/>
      <c r="W58" s="321">
        <v>44421</v>
      </c>
      <c r="X58" s="324">
        <v>115050538</v>
      </c>
      <c r="Y58" s="321" t="s">
        <v>1063</v>
      </c>
      <c r="Z58" s="321"/>
      <c r="AA58" s="321"/>
      <c r="AB58" s="322">
        <v>91</v>
      </c>
      <c r="AG58" s="312" t="s">
        <v>2254</v>
      </c>
    </row>
    <row r="59" spans="1:33" x14ac:dyDescent="0.25">
      <c r="A59" s="429">
        <v>55</v>
      </c>
      <c r="B59" s="320" t="s">
        <v>905</v>
      </c>
      <c r="C59" s="321">
        <v>44053</v>
      </c>
      <c r="D59" s="319" t="s">
        <v>1179</v>
      </c>
      <c r="E59" s="322" t="s">
        <v>716</v>
      </c>
      <c r="F59" s="334">
        <v>960340000376</v>
      </c>
      <c r="G59" s="322" t="s">
        <v>938</v>
      </c>
      <c r="H59" s="337" t="s">
        <v>2120</v>
      </c>
      <c r="I59" s="328">
        <v>2015148840</v>
      </c>
      <c r="J59" s="325">
        <v>12132.8</v>
      </c>
      <c r="N59" s="321">
        <v>44063</v>
      </c>
      <c r="O59" s="324">
        <v>88</v>
      </c>
      <c r="P59" s="324">
        <v>88</v>
      </c>
      <c r="Q59" s="319">
        <v>10</v>
      </c>
      <c r="R59" s="321">
        <v>43955</v>
      </c>
      <c r="S59" s="327">
        <v>44620</v>
      </c>
      <c r="T59" s="319"/>
      <c r="U59" s="319"/>
      <c r="V59" s="319"/>
      <c r="W59" s="321">
        <v>44377</v>
      </c>
      <c r="X59" s="324">
        <v>34813216</v>
      </c>
      <c r="Y59" s="327" t="s">
        <v>1061</v>
      </c>
      <c r="Z59" s="321"/>
      <c r="AA59" s="321"/>
      <c r="AB59" s="322">
        <v>84</v>
      </c>
      <c r="AG59" s="312" t="s">
        <v>2254</v>
      </c>
    </row>
    <row r="60" spans="1:33" x14ac:dyDescent="0.25">
      <c r="A60" s="429">
        <v>56</v>
      </c>
      <c r="B60" s="320" t="s">
        <v>904</v>
      </c>
      <c r="C60" s="321">
        <v>44111</v>
      </c>
      <c r="D60" s="319" t="s">
        <v>1179</v>
      </c>
      <c r="E60" s="322" t="s">
        <v>716</v>
      </c>
      <c r="F60" s="334">
        <v>960340000376</v>
      </c>
      <c r="G60" s="322" t="s">
        <v>865</v>
      </c>
      <c r="H60" s="323" t="s">
        <v>1670</v>
      </c>
      <c r="I60" s="328">
        <v>3066214650</v>
      </c>
      <c r="J60" s="325">
        <v>15109.69</v>
      </c>
      <c r="N60" s="321">
        <v>44154</v>
      </c>
      <c r="O60" s="324">
        <v>119</v>
      </c>
      <c r="P60" s="324">
        <v>119</v>
      </c>
      <c r="Q60" s="319">
        <v>9.1199999999999992</v>
      </c>
      <c r="R60" s="321">
        <v>43998</v>
      </c>
      <c r="S60" s="327">
        <v>44592</v>
      </c>
      <c r="T60" s="321"/>
      <c r="U60" s="319"/>
      <c r="V60" s="319"/>
      <c r="W60" s="321">
        <v>44452</v>
      </c>
      <c r="X60" s="324">
        <v>52444166</v>
      </c>
      <c r="Y60" s="321"/>
      <c r="Z60" s="321"/>
      <c r="AA60" s="321"/>
      <c r="AB60" s="322">
        <v>84</v>
      </c>
      <c r="AG60" s="312" t="s">
        <v>2254</v>
      </c>
    </row>
    <row r="61" spans="1:33" x14ac:dyDescent="0.25">
      <c r="A61" s="429">
        <v>57</v>
      </c>
      <c r="B61" s="320" t="s">
        <v>903</v>
      </c>
      <c r="C61" s="321">
        <v>44175</v>
      </c>
      <c r="D61" s="319" t="s">
        <v>753</v>
      </c>
      <c r="E61" s="322" t="s">
        <v>949</v>
      </c>
      <c r="F61" s="323" t="s">
        <v>2100</v>
      </c>
      <c r="G61" s="322" t="s">
        <v>933</v>
      </c>
      <c r="H61" s="337" t="s">
        <v>2210</v>
      </c>
      <c r="I61" s="328">
        <v>3080917422</v>
      </c>
      <c r="J61" s="325">
        <v>59963.8</v>
      </c>
      <c r="N61" s="321">
        <v>44179</v>
      </c>
      <c r="O61" s="324">
        <v>832</v>
      </c>
      <c r="P61" s="324">
        <v>928</v>
      </c>
      <c r="Q61" s="319">
        <v>9</v>
      </c>
      <c r="R61" s="321">
        <v>44118</v>
      </c>
      <c r="S61" s="327">
        <v>44452</v>
      </c>
      <c r="T61" s="321">
        <v>44543</v>
      </c>
      <c r="U61" s="319"/>
      <c r="V61" s="319"/>
      <c r="W61" s="321">
        <v>44441</v>
      </c>
      <c r="X61" s="324">
        <v>30809174</v>
      </c>
      <c r="Y61" s="327" t="s">
        <v>1055</v>
      </c>
      <c r="Z61" s="321"/>
      <c r="AA61" s="321"/>
      <c r="AB61" s="322">
        <v>71</v>
      </c>
      <c r="AG61" s="312" t="s">
        <v>2254</v>
      </c>
    </row>
    <row r="62" spans="1:33" x14ac:dyDescent="0.25">
      <c r="A62" s="429">
        <v>58</v>
      </c>
      <c r="B62" s="320" t="s">
        <v>902</v>
      </c>
      <c r="C62" s="321">
        <v>44060</v>
      </c>
      <c r="D62" s="319" t="s">
        <v>1179</v>
      </c>
      <c r="E62" s="322" t="s">
        <v>718</v>
      </c>
      <c r="F62" s="323" t="s">
        <v>1621</v>
      </c>
      <c r="G62" s="322" t="s">
        <v>936</v>
      </c>
      <c r="H62" s="323" t="s">
        <v>2202</v>
      </c>
      <c r="I62" s="328">
        <v>4767699843</v>
      </c>
      <c r="J62" s="325">
        <v>21896</v>
      </c>
      <c r="N62" s="321">
        <v>44062</v>
      </c>
      <c r="O62" s="324">
        <v>239</v>
      </c>
      <c r="P62" s="324">
        <v>239</v>
      </c>
      <c r="Q62" s="319">
        <v>9</v>
      </c>
      <c r="R62" s="321">
        <v>44001</v>
      </c>
      <c r="S62" s="327">
        <v>44530</v>
      </c>
      <c r="T62" s="319"/>
      <c r="U62" s="319"/>
      <c r="V62" s="319"/>
      <c r="W62" s="321">
        <v>44477</v>
      </c>
      <c r="X62" s="324">
        <v>93279152</v>
      </c>
      <c r="Y62" s="327" t="s">
        <v>1054</v>
      </c>
      <c r="Z62" s="321"/>
      <c r="AA62" s="321"/>
      <c r="AB62" s="322">
        <v>81</v>
      </c>
      <c r="AG62" s="312" t="s">
        <v>2254</v>
      </c>
    </row>
    <row r="63" spans="1:33" x14ac:dyDescent="0.25">
      <c r="A63" s="429">
        <v>59</v>
      </c>
      <c r="B63" s="320" t="s">
        <v>901</v>
      </c>
      <c r="C63" s="321">
        <v>43860</v>
      </c>
      <c r="D63" s="319" t="s">
        <v>1179</v>
      </c>
      <c r="E63" s="322" t="s">
        <v>718</v>
      </c>
      <c r="F63" s="323" t="s">
        <v>1621</v>
      </c>
      <c r="G63" s="319" t="s">
        <v>719</v>
      </c>
      <c r="H63" s="337" t="s">
        <v>2211</v>
      </c>
      <c r="I63" s="328">
        <v>9154023704</v>
      </c>
      <c r="J63" s="332">
        <v>35661.699999999997</v>
      </c>
      <c r="N63" s="321">
        <v>43866</v>
      </c>
      <c r="O63" s="324">
        <v>357</v>
      </c>
      <c r="P63" s="324">
        <v>358</v>
      </c>
      <c r="Q63" s="319">
        <v>16</v>
      </c>
      <c r="R63" s="321">
        <v>43843</v>
      </c>
      <c r="S63" s="327">
        <v>44477</v>
      </c>
      <c r="T63" s="321">
        <v>44569</v>
      </c>
      <c r="U63" s="319"/>
      <c r="V63" s="319"/>
      <c r="W63" s="321">
        <v>44553</v>
      </c>
      <c r="X63" s="324">
        <v>180082849</v>
      </c>
      <c r="Y63" s="319" t="s">
        <v>1053</v>
      </c>
      <c r="Z63" s="319"/>
      <c r="AA63" s="319"/>
      <c r="AB63" s="322">
        <v>91</v>
      </c>
      <c r="AG63" s="312" t="s">
        <v>2254</v>
      </c>
    </row>
    <row r="64" spans="1:33" x14ac:dyDescent="0.25">
      <c r="A64" s="429"/>
      <c r="B64" s="346" t="s">
        <v>2240</v>
      </c>
      <c r="C64" s="321">
        <v>44334</v>
      </c>
      <c r="D64" s="319" t="s">
        <v>1179</v>
      </c>
      <c r="E64" s="322" t="s">
        <v>718</v>
      </c>
      <c r="F64" s="323" t="s">
        <v>1621</v>
      </c>
      <c r="G64" s="319" t="s">
        <v>719</v>
      </c>
      <c r="H64" s="337" t="s">
        <v>2211</v>
      </c>
      <c r="I64" s="328">
        <v>505795088</v>
      </c>
      <c r="J64" s="325">
        <v>0</v>
      </c>
      <c r="N64" s="321">
        <v>44344</v>
      </c>
      <c r="O64" s="319">
        <v>0</v>
      </c>
      <c r="P64" s="324">
        <v>0</v>
      </c>
      <c r="Q64" s="319">
        <v>0</v>
      </c>
      <c r="R64" s="321">
        <v>44172</v>
      </c>
      <c r="S64" s="327">
        <v>44553</v>
      </c>
      <c r="T64" s="319"/>
      <c r="U64" s="319"/>
      <c r="V64" s="319"/>
      <c r="W64" s="321">
        <v>44553</v>
      </c>
      <c r="X64" s="324">
        <v>5057951</v>
      </c>
      <c r="Y64" s="327"/>
      <c r="Z64" s="327"/>
      <c r="AA64" s="327" t="s">
        <v>658</v>
      </c>
      <c r="AB64" s="322">
        <v>91</v>
      </c>
      <c r="AG64" s="312" t="s">
        <v>2254</v>
      </c>
    </row>
    <row r="65" spans="1:33" x14ac:dyDescent="0.25">
      <c r="A65" s="429">
        <v>60</v>
      </c>
      <c r="B65" s="320" t="s">
        <v>900</v>
      </c>
      <c r="C65" s="321">
        <v>43875</v>
      </c>
      <c r="D65" s="319" t="s">
        <v>1179</v>
      </c>
      <c r="E65" s="319" t="s">
        <v>954</v>
      </c>
      <c r="F65" s="337" t="s">
        <v>1956</v>
      </c>
      <c r="G65" s="319" t="s">
        <v>1431</v>
      </c>
      <c r="H65" s="337" t="s">
        <v>2161</v>
      </c>
      <c r="I65" s="328">
        <v>5767382086</v>
      </c>
      <c r="J65" s="325">
        <v>27950.19</v>
      </c>
      <c r="N65" s="321">
        <v>43903</v>
      </c>
      <c r="O65" s="324">
        <v>173</v>
      </c>
      <c r="P65" s="324">
        <v>172</v>
      </c>
      <c r="Q65" s="319">
        <v>10.18</v>
      </c>
      <c r="R65" s="321">
        <v>43817</v>
      </c>
      <c r="S65" s="327">
        <v>44487</v>
      </c>
      <c r="T65" s="321">
        <v>44579</v>
      </c>
      <c r="U65" s="319"/>
      <c r="V65" s="319"/>
      <c r="W65" s="321">
        <v>44559</v>
      </c>
      <c r="X65" s="324">
        <v>105944617</v>
      </c>
      <c r="Y65" s="319" t="s">
        <v>1052</v>
      </c>
      <c r="Z65" s="319"/>
      <c r="AA65" s="319"/>
      <c r="AB65" s="322">
        <v>70</v>
      </c>
      <c r="AG65" s="312" t="s">
        <v>2254</v>
      </c>
    </row>
    <row r="66" spans="1:33" x14ac:dyDescent="0.25">
      <c r="A66" s="429">
        <v>61</v>
      </c>
      <c r="B66" s="320" t="s">
        <v>899</v>
      </c>
      <c r="C66" s="321">
        <v>44015</v>
      </c>
      <c r="D66" s="319" t="s">
        <v>753</v>
      </c>
      <c r="E66" s="319" t="s">
        <v>685</v>
      </c>
      <c r="F66" s="337" t="s">
        <v>1955</v>
      </c>
      <c r="G66" s="319" t="s">
        <v>877</v>
      </c>
      <c r="H66" s="337" t="s">
        <v>2173</v>
      </c>
      <c r="I66" s="328">
        <v>6057003488</v>
      </c>
      <c r="J66" s="325">
        <v>39655.800000000003</v>
      </c>
      <c r="N66" s="321">
        <v>44016</v>
      </c>
      <c r="O66" s="324">
        <v>484</v>
      </c>
      <c r="P66" s="324">
        <v>506</v>
      </c>
      <c r="Q66" s="319" t="s">
        <v>72</v>
      </c>
      <c r="R66" s="321">
        <v>43998</v>
      </c>
      <c r="S66" s="327">
        <v>44500</v>
      </c>
      <c r="T66" s="321">
        <v>44592</v>
      </c>
      <c r="U66" s="319"/>
      <c r="V66" s="319"/>
      <c r="W66" s="321">
        <v>44558</v>
      </c>
      <c r="X66" s="324">
        <v>121140070</v>
      </c>
      <c r="Y66" s="327" t="s">
        <v>1051</v>
      </c>
      <c r="Z66" s="319"/>
      <c r="AA66" s="319"/>
      <c r="AB66" s="322">
        <v>95</v>
      </c>
      <c r="AG66" s="312" t="s">
        <v>2254</v>
      </c>
    </row>
    <row r="67" spans="1:33" x14ac:dyDescent="0.25">
      <c r="A67" s="429">
        <v>62</v>
      </c>
      <c r="B67" s="320" t="s">
        <v>898</v>
      </c>
      <c r="C67" s="321">
        <v>44060</v>
      </c>
      <c r="D67" s="319" t="s">
        <v>753</v>
      </c>
      <c r="E67" s="319" t="s">
        <v>685</v>
      </c>
      <c r="F67" s="337" t="s">
        <v>1955</v>
      </c>
      <c r="G67" s="319" t="s">
        <v>877</v>
      </c>
      <c r="H67" s="337" t="s">
        <v>2173</v>
      </c>
      <c r="I67" s="328">
        <v>2350110287</v>
      </c>
      <c r="J67" s="325">
        <v>16432.3</v>
      </c>
      <c r="N67" s="321">
        <v>44060</v>
      </c>
      <c r="O67" s="324">
        <v>208</v>
      </c>
      <c r="P67" s="324">
        <v>216</v>
      </c>
      <c r="Q67" s="319" t="s">
        <v>125</v>
      </c>
      <c r="R67" s="321">
        <v>43998</v>
      </c>
      <c r="S67" s="327">
        <v>44592</v>
      </c>
      <c r="T67" s="319"/>
      <c r="U67" s="319"/>
      <c r="V67" s="319"/>
      <c r="W67" s="321">
        <v>44558</v>
      </c>
      <c r="X67" s="324">
        <v>47002206</v>
      </c>
      <c r="Y67" s="327" t="s">
        <v>1050</v>
      </c>
      <c r="Z67" s="319"/>
      <c r="AA67" s="319"/>
      <c r="AB67" s="322">
        <v>95</v>
      </c>
      <c r="AG67" s="312" t="s">
        <v>2254</v>
      </c>
    </row>
    <row r="68" spans="1:33" x14ac:dyDescent="0.25">
      <c r="A68" s="429">
        <v>63</v>
      </c>
      <c r="B68" s="320" t="s">
        <v>897</v>
      </c>
      <c r="C68" s="321">
        <v>43875</v>
      </c>
      <c r="D68" s="319" t="s">
        <v>1179</v>
      </c>
      <c r="E68" s="322" t="s">
        <v>718</v>
      </c>
      <c r="F68" s="323" t="s">
        <v>1621</v>
      </c>
      <c r="G68" s="319" t="s">
        <v>939</v>
      </c>
      <c r="H68" s="337" t="s">
        <v>2205</v>
      </c>
      <c r="I68" s="328">
        <v>4490419686</v>
      </c>
      <c r="J68" s="325">
        <v>19814.66</v>
      </c>
      <c r="N68" s="321">
        <v>43878</v>
      </c>
      <c r="O68" s="324">
        <v>278</v>
      </c>
      <c r="P68" s="324">
        <v>278</v>
      </c>
      <c r="Q68" s="319" t="s">
        <v>110</v>
      </c>
      <c r="R68" s="321">
        <v>43784</v>
      </c>
      <c r="S68" s="327">
        <v>44302</v>
      </c>
      <c r="T68" s="321">
        <v>44393</v>
      </c>
      <c r="U68" s="321">
        <v>44510</v>
      </c>
      <c r="V68" s="321">
        <v>44602</v>
      </c>
      <c r="W68" s="321">
        <v>44557</v>
      </c>
      <c r="X68" s="324">
        <v>89098085</v>
      </c>
      <c r="Y68" s="327" t="s">
        <v>1049</v>
      </c>
      <c r="Z68" s="319"/>
      <c r="AA68" s="319"/>
      <c r="AB68" s="322">
        <v>91</v>
      </c>
      <c r="AG68" s="312" t="s">
        <v>2254</v>
      </c>
    </row>
    <row r="69" spans="1:33" x14ac:dyDescent="0.25">
      <c r="A69" s="429">
        <v>64</v>
      </c>
      <c r="B69" s="320" t="s">
        <v>1056</v>
      </c>
      <c r="C69" s="321">
        <v>43927</v>
      </c>
      <c r="D69" s="319" t="s">
        <v>1179</v>
      </c>
      <c r="E69" s="322" t="s">
        <v>718</v>
      </c>
      <c r="F69" s="323" t="s">
        <v>1621</v>
      </c>
      <c r="G69" s="319" t="s">
        <v>939</v>
      </c>
      <c r="H69" s="337" t="s">
        <v>2205</v>
      </c>
      <c r="I69" s="328">
        <v>5708411131</v>
      </c>
      <c r="J69" s="325">
        <v>31505.3</v>
      </c>
      <c r="N69" s="321">
        <v>44154</v>
      </c>
      <c r="O69" s="324">
        <v>416</v>
      </c>
      <c r="P69" s="324">
        <v>416</v>
      </c>
      <c r="Q69" s="319" t="s">
        <v>116</v>
      </c>
      <c r="R69" s="321">
        <v>43892</v>
      </c>
      <c r="S69" s="327">
        <v>44622</v>
      </c>
      <c r="T69" s="319"/>
      <c r="U69" s="319"/>
      <c r="V69" s="319"/>
      <c r="W69" s="321">
        <v>44559</v>
      </c>
      <c r="X69" s="324">
        <v>112958261</v>
      </c>
      <c r="Y69" s="319"/>
      <c r="Z69" s="319"/>
      <c r="AA69" s="319"/>
      <c r="AB69" s="322">
        <v>91</v>
      </c>
      <c r="AG69" s="312" t="s">
        <v>2254</v>
      </c>
    </row>
    <row r="70" spans="1:33" x14ac:dyDescent="0.25">
      <c r="A70" s="429">
        <v>65</v>
      </c>
      <c r="B70" s="320" t="s">
        <v>896</v>
      </c>
      <c r="C70" s="321">
        <v>44187</v>
      </c>
      <c r="D70" s="319" t="s">
        <v>1179</v>
      </c>
      <c r="E70" s="322" t="s">
        <v>716</v>
      </c>
      <c r="F70" s="334">
        <v>960340000376</v>
      </c>
      <c r="G70" s="322" t="s">
        <v>940</v>
      </c>
      <c r="H70" s="337" t="s">
        <v>2120</v>
      </c>
      <c r="I70" s="328">
        <v>2608583568</v>
      </c>
      <c r="J70" s="325">
        <v>16101.6</v>
      </c>
      <c r="N70" s="321">
        <v>44193</v>
      </c>
      <c r="O70" s="324">
        <v>116</v>
      </c>
      <c r="P70" s="324">
        <v>116</v>
      </c>
      <c r="Q70" s="319">
        <v>10</v>
      </c>
      <c r="R70" s="321">
        <v>43986</v>
      </c>
      <c r="S70" s="327">
        <v>44712</v>
      </c>
      <c r="T70" s="319"/>
      <c r="U70" s="319"/>
      <c r="V70" s="319"/>
      <c r="W70" s="321">
        <v>44482</v>
      </c>
      <c r="X70" s="324">
        <v>24583147</v>
      </c>
      <c r="Y70" s="327" t="s">
        <v>1048</v>
      </c>
      <c r="Z70" s="324">
        <v>311733873</v>
      </c>
      <c r="AA70" s="327"/>
      <c r="AB70" s="322">
        <v>84</v>
      </c>
      <c r="AG70" s="312" t="s">
        <v>2254</v>
      </c>
    </row>
    <row r="71" spans="1:33" x14ac:dyDescent="0.25">
      <c r="A71" s="429">
        <v>66</v>
      </c>
      <c r="B71" s="320" t="s">
        <v>895</v>
      </c>
      <c r="C71" s="321">
        <v>44187</v>
      </c>
      <c r="D71" s="319" t="s">
        <v>1179</v>
      </c>
      <c r="E71" s="322" t="s">
        <v>716</v>
      </c>
      <c r="F71" s="334">
        <v>960340000376</v>
      </c>
      <c r="G71" s="319" t="s">
        <v>935</v>
      </c>
      <c r="H71" s="337" t="s">
        <v>2179</v>
      </c>
      <c r="I71" s="328">
        <v>1657025210</v>
      </c>
      <c r="J71" s="325">
        <v>12551.1</v>
      </c>
      <c r="N71" s="321">
        <v>44195</v>
      </c>
      <c r="O71" s="324">
        <v>171</v>
      </c>
      <c r="P71" s="324">
        <v>171</v>
      </c>
      <c r="Q71" s="319">
        <v>9.1199999999999992</v>
      </c>
      <c r="R71" s="321">
        <v>44090</v>
      </c>
      <c r="S71" s="327">
        <v>44865</v>
      </c>
      <c r="T71" s="319"/>
      <c r="U71" s="319"/>
      <c r="V71" s="319"/>
      <c r="W71" s="321">
        <v>44501</v>
      </c>
      <c r="X71" s="324">
        <v>15578040</v>
      </c>
      <c r="Y71" s="327" t="s">
        <v>1047</v>
      </c>
      <c r="Z71" s="324">
        <v>211128707</v>
      </c>
      <c r="AA71" s="327"/>
      <c r="AB71" s="322">
        <v>84</v>
      </c>
      <c r="AG71" s="312" t="s">
        <v>2254</v>
      </c>
    </row>
    <row r="72" spans="1:33" x14ac:dyDescent="0.25">
      <c r="A72" s="429">
        <v>67</v>
      </c>
      <c r="B72" s="320" t="s">
        <v>894</v>
      </c>
      <c r="C72" s="321">
        <v>44109</v>
      </c>
      <c r="D72" s="319" t="s">
        <v>753</v>
      </c>
      <c r="E72" s="322" t="s">
        <v>953</v>
      </c>
      <c r="F72" s="323" t="s">
        <v>2106</v>
      </c>
      <c r="G72" s="322" t="s">
        <v>874</v>
      </c>
      <c r="H72" s="323" t="s">
        <v>2201</v>
      </c>
      <c r="I72" s="328">
        <v>4323925897</v>
      </c>
      <c r="J72" s="325">
        <v>17609.2</v>
      </c>
      <c r="N72" s="321">
        <v>44165</v>
      </c>
      <c r="O72" s="324">
        <v>237</v>
      </c>
      <c r="P72" s="324">
        <v>237</v>
      </c>
      <c r="Q72" s="319">
        <v>16</v>
      </c>
      <c r="R72" s="321">
        <v>44090</v>
      </c>
      <c r="S72" s="327">
        <v>44729</v>
      </c>
      <c r="T72" s="319"/>
      <c r="U72" s="319"/>
      <c r="V72" s="319"/>
      <c r="W72" s="321">
        <v>44722</v>
      </c>
      <c r="X72" s="324">
        <v>85270009</v>
      </c>
      <c r="Y72" s="327" t="s">
        <v>1046</v>
      </c>
      <c r="Z72" s="327"/>
      <c r="AA72" s="327"/>
      <c r="AB72" s="322">
        <v>98</v>
      </c>
      <c r="AG72" s="312" t="s">
        <v>2254</v>
      </c>
    </row>
    <row r="73" spans="1:33" x14ac:dyDescent="0.25">
      <c r="A73" s="429">
        <v>68</v>
      </c>
      <c r="B73" s="320" t="s">
        <v>847</v>
      </c>
      <c r="C73" s="321">
        <v>44175</v>
      </c>
      <c r="D73" s="319" t="s">
        <v>1179</v>
      </c>
      <c r="E73" s="322" t="s">
        <v>2092</v>
      </c>
      <c r="F73" s="323" t="s">
        <v>2093</v>
      </c>
      <c r="G73" s="322" t="s">
        <v>860</v>
      </c>
      <c r="H73" s="323" t="s">
        <v>2135</v>
      </c>
      <c r="I73" s="328">
        <v>2855648417</v>
      </c>
      <c r="J73" s="325">
        <v>13898.8</v>
      </c>
      <c r="N73" s="321">
        <v>44209</v>
      </c>
      <c r="O73" s="324">
        <v>126</v>
      </c>
      <c r="P73" s="324">
        <v>126</v>
      </c>
      <c r="Q73" s="319">
        <v>12</v>
      </c>
      <c r="R73" s="321">
        <v>44096</v>
      </c>
      <c r="S73" s="327">
        <v>44642</v>
      </c>
      <c r="T73" s="319"/>
      <c r="U73" s="319"/>
      <c r="V73" s="319"/>
      <c r="W73" s="321">
        <v>44376</v>
      </c>
      <c r="X73" s="324" t="s">
        <v>656</v>
      </c>
      <c r="Y73" s="324" t="s">
        <v>657</v>
      </c>
      <c r="Z73" s="324"/>
      <c r="AA73" s="324" t="s">
        <v>636</v>
      </c>
      <c r="AB73" s="322">
        <v>77</v>
      </c>
      <c r="AG73" s="312" t="s">
        <v>2254</v>
      </c>
    </row>
    <row r="74" spans="1:33" x14ac:dyDescent="0.25">
      <c r="A74" s="429">
        <v>69</v>
      </c>
      <c r="B74" s="320" t="s">
        <v>829</v>
      </c>
      <c r="C74" s="321">
        <v>44232</v>
      </c>
      <c r="D74" s="319" t="s">
        <v>1179</v>
      </c>
      <c r="E74" s="319" t="s">
        <v>716</v>
      </c>
      <c r="F74" s="334">
        <v>960340000376</v>
      </c>
      <c r="G74" s="319" t="s">
        <v>861</v>
      </c>
      <c r="H74" s="337" t="s">
        <v>2182</v>
      </c>
      <c r="I74" s="328">
        <v>2435069335</v>
      </c>
      <c r="J74" s="325">
        <v>16551</v>
      </c>
      <c r="N74" s="321">
        <v>44256</v>
      </c>
      <c r="O74" s="324">
        <v>144</v>
      </c>
      <c r="P74" s="324">
        <v>144</v>
      </c>
      <c r="Q74" s="319">
        <v>7</v>
      </c>
      <c r="R74" s="321">
        <v>43964</v>
      </c>
      <c r="S74" s="327">
        <v>44574</v>
      </c>
      <c r="T74" s="319"/>
      <c r="U74" s="319"/>
      <c r="V74" s="319"/>
      <c r="W74" s="321">
        <v>44491</v>
      </c>
      <c r="X74" s="324">
        <v>21061933</v>
      </c>
      <c r="Y74" s="327" t="s">
        <v>1078</v>
      </c>
      <c r="Z74" s="327"/>
      <c r="AA74" s="327"/>
      <c r="AB74" s="322">
        <v>84</v>
      </c>
      <c r="AG74" s="312" t="s">
        <v>2254</v>
      </c>
    </row>
    <row r="75" spans="1:33" x14ac:dyDescent="0.25">
      <c r="A75" s="429">
        <v>70</v>
      </c>
      <c r="B75" s="320" t="s">
        <v>830</v>
      </c>
      <c r="C75" s="321">
        <v>44391</v>
      </c>
      <c r="D75" s="319" t="s">
        <v>753</v>
      </c>
      <c r="E75" s="319" t="s">
        <v>685</v>
      </c>
      <c r="F75" s="337" t="s">
        <v>1955</v>
      </c>
      <c r="G75" s="319" t="s">
        <v>862</v>
      </c>
      <c r="H75" s="337" t="s">
        <v>2136</v>
      </c>
      <c r="I75" s="328">
        <v>4706806971</v>
      </c>
      <c r="J75" s="325">
        <v>55984.28</v>
      </c>
      <c r="N75" s="321">
        <v>44403</v>
      </c>
      <c r="O75" s="324">
        <v>756</v>
      </c>
      <c r="P75" s="324">
        <v>844</v>
      </c>
      <c r="Q75" s="319">
        <v>9</v>
      </c>
      <c r="R75" s="321">
        <v>44355</v>
      </c>
      <c r="S75" s="327">
        <v>44561</v>
      </c>
      <c r="T75" s="319"/>
      <c r="U75" s="319"/>
      <c r="V75" s="319"/>
      <c r="W75" s="321">
        <v>44558</v>
      </c>
      <c r="X75" s="324">
        <v>47068070</v>
      </c>
      <c r="Y75" s="327" t="s">
        <v>659</v>
      </c>
      <c r="Z75" s="327"/>
      <c r="AA75" s="327" t="s">
        <v>595</v>
      </c>
      <c r="AB75" s="322">
        <v>68</v>
      </c>
      <c r="AG75" s="312" t="s">
        <v>2254</v>
      </c>
    </row>
    <row r="76" spans="1:33" x14ac:dyDescent="0.25">
      <c r="A76" s="429">
        <v>71</v>
      </c>
      <c r="B76" s="320" t="s">
        <v>831</v>
      </c>
      <c r="C76" s="321">
        <v>44336</v>
      </c>
      <c r="D76" s="319" t="s">
        <v>1179</v>
      </c>
      <c r="E76" s="322" t="s">
        <v>718</v>
      </c>
      <c r="F76" s="323" t="s">
        <v>1621</v>
      </c>
      <c r="G76" s="319" t="s">
        <v>863</v>
      </c>
      <c r="H76" s="323" t="s">
        <v>2164</v>
      </c>
      <c r="I76" s="328">
        <v>3935294461</v>
      </c>
      <c r="J76" s="325">
        <v>19799.46</v>
      </c>
      <c r="N76" s="321">
        <v>44344</v>
      </c>
      <c r="O76" s="324">
        <v>207</v>
      </c>
      <c r="P76" s="324">
        <v>207</v>
      </c>
      <c r="Q76" s="319" t="s">
        <v>193</v>
      </c>
      <c r="R76" s="321">
        <v>44242</v>
      </c>
      <c r="S76" s="327">
        <v>44734</v>
      </c>
      <c r="T76" s="319"/>
      <c r="U76" s="319"/>
      <c r="V76" s="319"/>
      <c r="W76" s="321">
        <v>44522</v>
      </c>
      <c r="X76" s="324">
        <v>38776285</v>
      </c>
      <c r="Y76" s="327"/>
      <c r="Z76" s="327"/>
      <c r="AA76" s="327"/>
      <c r="AB76" s="322">
        <v>81</v>
      </c>
      <c r="AG76" s="312" t="s">
        <v>2254</v>
      </c>
    </row>
    <row r="77" spans="1:33" x14ac:dyDescent="0.25">
      <c r="A77" s="429">
        <v>72</v>
      </c>
      <c r="B77" s="320" t="s">
        <v>832</v>
      </c>
      <c r="C77" s="321">
        <v>44287</v>
      </c>
      <c r="D77" s="319" t="s">
        <v>1179</v>
      </c>
      <c r="E77" s="322" t="s">
        <v>718</v>
      </c>
      <c r="F77" s="323" t="s">
        <v>1621</v>
      </c>
      <c r="G77" s="319" t="s">
        <v>864</v>
      </c>
      <c r="H77" s="337" t="s">
        <v>2172</v>
      </c>
      <c r="I77" s="328">
        <v>6857592308</v>
      </c>
      <c r="J77" s="325">
        <v>35711.699999999997</v>
      </c>
      <c r="N77" s="321">
        <v>44309</v>
      </c>
      <c r="O77" s="324">
        <v>291</v>
      </c>
      <c r="P77" s="324">
        <v>291</v>
      </c>
      <c r="Q77" s="319" t="s">
        <v>38</v>
      </c>
      <c r="R77" s="321">
        <v>44293</v>
      </c>
      <c r="S77" s="327">
        <v>44658</v>
      </c>
      <c r="T77" s="319"/>
      <c r="U77" s="319"/>
      <c r="V77" s="319"/>
      <c r="W77" s="321">
        <v>44553</v>
      </c>
      <c r="X77" s="324">
        <v>67971878</v>
      </c>
      <c r="Y77" s="327"/>
      <c r="Z77" s="327"/>
      <c r="AA77" s="327"/>
      <c r="AB77" s="322">
        <v>81</v>
      </c>
      <c r="AG77" s="312" t="s">
        <v>2254</v>
      </c>
    </row>
    <row r="78" spans="1:33" x14ac:dyDescent="0.25">
      <c r="A78" s="429">
        <v>73</v>
      </c>
      <c r="B78" s="320" t="s">
        <v>833</v>
      </c>
      <c r="C78" s="321">
        <v>44232</v>
      </c>
      <c r="D78" s="319" t="s">
        <v>1179</v>
      </c>
      <c r="E78" s="319" t="s">
        <v>716</v>
      </c>
      <c r="F78" s="334">
        <v>960340000376</v>
      </c>
      <c r="G78" s="319" t="s">
        <v>865</v>
      </c>
      <c r="H78" s="323" t="s">
        <v>1670</v>
      </c>
      <c r="I78" s="328">
        <v>3481930375</v>
      </c>
      <c r="J78" s="325">
        <v>17098.46</v>
      </c>
      <c r="N78" s="321">
        <v>44256</v>
      </c>
      <c r="O78" s="324">
        <v>80</v>
      </c>
      <c r="P78" s="324">
        <v>80</v>
      </c>
      <c r="Q78" s="319">
        <v>7.9</v>
      </c>
      <c r="R78" s="321" t="s">
        <v>1991</v>
      </c>
      <c r="S78" s="327">
        <v>44592</v>
      </c>
      <c r="T78" s="319"/>
      <c r="U78" s="319"/>
      <c r="V78" s="319"/>
      <c r="W78" s="321">
        <v>44506</v>
      </c>
      <c r="X78" s="324">
        <v>30330124</v>
      </c>
      <c r="Y78" s="327"/>
      <c r="Z78" s="327"/>
      <c r="AA78" s="327"/>
      <c r="AB78" s="322">
        <v>84</v>
      </c>
      <c r="AG78" s="312" t="s">
        <v>2254</v>
      </c>
    </row>
    <row r="79" spans="1:33" x14ac:dyDescent="0.25">
      <c r="A79" s="429">
        <v>74</v>
      </c>
      <c r="B79" s="320" t="s">
        <v>834</v>
      </c>
      <c r="C79" s="321">
        <v>44230</v>
      </c>
      <c r="D79" s="319" t="s">
        <v>1179</v>
      </c>
      <c r="E79" s="319" t="s">
        <v>712</v>
      </c>
      <c r="F79" s="409" t="s">
        <v>1640</v>
      </c>
      <c r="G79" s="319" t="s">
        <v>866</v>
      </c>
      <c r="H79" s="337" t="s">
        <v>2206</v>
      </c>
      <c r="I79" s="328">
        <v>3336486162</v>
      </c>
      <c r="J79" s="325">
        <v>16227.57</v>
      </c>
      <c r="N79" s="321">
        <v>44251</v>
      </c>
      <c r="O79" s="324">
        <v>160</v>
      </c>
      <c r="P79" s="324">
        <v>182</v>
      </c>
      <c r="Q79" s="319" t="s">
        <v>64</v>
      </c>
      <c r="R79" s="321">
        <v>44158</v>
      </c>
      <c r="S79" s="327">
        <v>44615</v>
      </c>
      <c r="T79" s="319"/>
      <c r="U79" s="319"/>
      <c r="V79" s="319"/>
      <c r="W79" s="321">
        <v>44538</v>
      </c>
      <c r="X79" s="324">
        <v>28025328</v>
      </c>
      <c r="Y79" s="327"/>
      <c r="Z79" s="327"/>
      <c r="AA79" s="327"/>
      <c r="AB79" s="322">
        <v>63</v>
      </c>
      <c r="AG79" s="312" t="s">
        <v>2254</v>
      </c>
    </row>
    <row r="80" spans="1:33" x14ac:dyDescent="0.25">
      <c r="A80" s="429">
        <v>75</v>
      </c>
      <c r="B80" s="320" t="s">
        <v>835</v>
      </c>
      <c r="C80" s="321">
        <v>44378</v>
      </c>
      <c r="D80" s="319" t="s">
        <v>1179</v>
      </c>
      <c r="E80" s="319" t="s">
        <v>716</v>
      </c>
      <c r="F80" s="334">
        <v>960340000376</v>
      </c>
      <c r="G80" s="322" t="s">
        <v>867</v>
      </c>
      <c r="H80" s="323" t="s">
        <v>2199</v>
      </c>
      <c r="I80" s="328">
        <v>2206013208</v>
      </c>
      <c r="J80" s="325">
        <v>15957</v>
      </c>
      <c r="N80" s="321">
        <v>44404</v>
      </c>
      <c r="O80" s="324">
        <v>170</v>
      </c>
      <c r="P80" s="324">
        <v>170</v>
      </c>
      <c r="Q80" s="319">
        <v>18</v>
      </c>
      <c r="R80" s="321">
        <v>44246</v>
      </c>
      <c r="S80" s="327">
        <v>44611</v>
      </c>
      <c r="T80" s="319"/>
      <c r="U80" s="319"/>
      <c r="V80" s="319"/>
      <c r="W80" s="321">
        <v>44532</v>
      </c>
      <c r="X80" s="324">
        <v>19793732</v>
      </c>
      <c r="Y80" s="327"/>
      <c r="Z80" s="327"/>
      <c r="AA80" s="327"/>
      <c r="AB80" s="322">
        <v>74</v>
      </c>
      <c r="AG80" s="312" t="s">
        <v>2254</v>
      </c>
    </row>
    <row r="81" spans="1:33" x14ac:dyDescent="0.25">
      <c r="A81" s="429">
        <v>76</v>
      </c>
      <c r="B81" s="320" t="s">
        <v>836</v>
      </c>
      <c r="C81" s="321">
        <v>44375</v>
      </c>
      <c r="D81" s="319" t="s">
        <v>176</v>
      </c>
      <c r="E81" s="319" t="s">
        <v>892</v>
      </c>
      <c r="F81" s="337" t="s">
        <v>2095</v>
      </c>
      <c r="G81" s="319" t="s">
        <v>868</v>
      </c>
      <c r="H81" s="337" t="s">
        <v>2174</v>
      </c>
      <c r="I81" s="328">
        <v>922782493</v>
      </c>
      <c r="J81" s="325">
        <v>6326.2</v>
      </c>
      <c r="N81" s="321">
        <v>44398</v>
      </c>
      <c r="O81" s="324">
        <v>72</v>
      </c>
      <c r="P81" s="324">
        <v>72</v>
      </c>
      <c r="Q81" s="319">
        <v>9</v>
      </c>
      <c r="R81" s="321">
        <v>44234</v>
      </c>
      <c r="S81" s="327">
        <v>44642</v>
      </c>
      <c r="T81" s="319"/>
      <c r="U81" s="319"/>
      <c r="V81" s="319"/>
      <c r="W81" s="321">
        <v>44615</v>
      </c>
      <c r="X81" s="324">
        <v>8506904</v>
      </c>
      <c r="Y81" s="327" t="s">
        <v>1173</v>
      </c>
      <c r="Z81" s="327"/>
      <c r="AA81" s="327"/>
      <c r="AB81" s="322">
        <v>80</v>
      </c>
      <c r="AG81" s="312" t="s">
        <v>2254</v>
      </c>
    </row>
    <row r="82" spans="1:33" x14ac:dyDescent="0.25">
      <c r="A82" s="429">
        <v>77</v>
      </c>
      <c r="B82" s="320" t="s">
        <v>837</v>
      </c>
      <c r="C82" s="321">
        <v>44313</v>
      </c>
      <c r="D82" s="319" t="s">
        <v>759</v>
      </c>
      <c r="E82" s="319" t="s">
        <v>891</v>
      </c>
      <c r="F82" s="337" t="s">
        <v>2113</v>
      </c>
      <c r="G82" s="319" t="s">
        <v>1753</v>
      </c>
      <c r="H82" s="337" t="s">
        <v>2207</v>
      </c>
      <c r="I82" s="328">
        <v>2271535493</v>
      </c>
      <c r="J82" s="325">
        <v>11439.2</v>
      </c>
      <c r="N82" s="321">
        <v>44356</v>
      </c>
      <c r="O82" s="324">
        <v>234</v>
      </c>
      <c r="P82" s="324">
        <v>234</v>
      </c>
      <c r="Q82" s="319">
        <v>9</v>
      </c>
      <c r="R82" s="321">
        <v>44260</v>
      </c>
      <c r="S82" s="327">
        <v>44686</v>
      </c>
      <c r="T82" s="319"/>
      <c r="U82" s="319"/>
      <c r="V82" s="319"/>
      <c r="W82" s="321">
        <v>44510</v>
      </c>
      <c r="X82" s="324">
        <v>18977698</v>
      </c>
      <c r="Y82" s="327"/>
      <c r="Z82" s="327"/>
      <c r="AA82" s="327"/>
      <c r="AB82" s="322">
        <v>73</v>
      </c>
      <c r="AG82" s="312" t="s">
        <v>2254</v>
      </c>
    </row>
    <row r="83" spans="1:33" x14ac:dyDescent="0.25">
      <c r="A83" s="429">
        <v>78</v>
      </c>
      <c r="B83" s="320" t="s">
        <v>838</v>
      </c>
      <c r="C83" s="321">
        <v>44287</v>
      </c>
      <c r="D83" s="319" t="s">
        <v>1179</v>
      </c>
      <c r="E83" s="319" t="s">
        <v>890</v>
      </c>
      <c r="F83" s="337" t="s">
        <v>2096</v>
      </c>
      <c r="G83" s="319" t="s">
        <v>869</v>
      </c>
      <c r="H83" s="337" t="s">
        <v>2165</v>
      </c>
      <c r="I83" s="328">
        <v>2374319871</v>
      </c>
      <c r="J83" s="325">
        <v>15603.49</v>
      </c>
      <c r="N83" s="321">
        <v>44309</v>
      </c>
      <c r="O83" s="324">
        <v>131</v>
      </c>
      <c r="P83" s="324">
        <v>159</v>
      </c>
      <c r="Q83" s="319">
        <v>24</v>
      </c>
      <c r="R83" s="321">
        <v>44235</v>
      </c>
      <c r="S83" s="327">
        <v>44688</v>
      </c>
      <c r="T83" s="319"/>
      <c r="U83" s="319"/>
      <c r="V83" s="319"/>
      <c r="W83" s="321">
        <v>44606</v>
      </c>
      <c r="X83" s="324">
        <v>20073340</v>
      </c>
      <c r="Y83" s="327"/>
      <c r="Z83" s="327"/>
      <c r="AA83" s="327"/>
      <c r="AB83" s="322">
        <v>77</v>
      </c>
      <c r="AG83" s="312" t="s">
        <v>2254</v>
      </c>
    </row>
    <row r="84" spans="1:33" x14ac:dyDescent="0.25">
      <c r="A84" s="429">
        <v>79</v>
      </c>
      <c r="B84" s="320" t="s">
        <v>839</v>
      </c>
      <c r="C84" s="321">
        <v>44299</v>
      </c>
      <c r="D84" s="319" t="s">
        <v>753</v>
      </c>
      <c r="E84" s="319" t="s">
        <v>685</v>
      </c>
      <c r="F84" s="337" t="s">
        <v>1955</v>
      </c>
      <c r="G84" s="319" t="s">
        <v>870</v>
      </c>
      <c r="H84" s="337" t="s">
        <v>2191</v>
      </c>
      <c r="I84" s="328">
        <v>1499679126</v>
      </c>
      <c r="J84" s="325">
        <v>19657.2</v>
      </c>
      <c r="N84" s="321">
        <v>44309</v>
      </c>
      <c r="O84" s="324">
        <v>303</v>
      </c>
      <c r="P84" s="324">
        <v>322</v>
      </c>
      <c r="Q84" s="319" t="s">
        <v>43</v>
      </c>
      <c r="R84" s="321">
        <v>44217</v>
      </c>
      <c r="S84" s="327">
        <v>44702</v>
      </c>
      <c r="T84" s="319"/>
      <c r="U84" s="319"/>
      <c r="V84" s="319"/>
      <c r="W84" s="321">
        <v>44557</v>
      </c>
      <c r="X84" s="324">
        <v>13332057</v>
      </c>
      <c r="Y84" s="327" t="s">
        <v>662</v>
      </c>
      <c r="Z84" s="327"/>
      <c r="AA84" s="327" t="s">
        <v>595</v>
      </c>
      <c r="AB84" s="322">
        <v>95</v>
      </c>
      <c r="AG84" s="312" t="s">
        <v>2254</v>
      </c>
    </row>
    <row r="85" spans="1:33" x14ac:dyDescent="0.25">
      <c r="A85" s="429">
        <v>80</v>
      </c>
      <c r="B85" s="320" t="s">
        <v>840</v>
      </c>
      <c r="C85" s="321">
        <v>44260</v>
      </c>
      <c r="D85" s="319" t="s">
        <v>1179</v>
      </c>
      <c r="E85" s="319" t="s">
        <v>725</v>
      </c>
      <c r="F85" s="337" t="s">
        <v>2098</v>
      </c>
      <c r="G85" s="319" t="s">
        <v>871</v>
      </c>
      <c r="H85" s="337" t="s">
        <v>2212</v>
      </c>
      <c r="I85" s="328">
        <v>5890831329</v>
      </c>
      <c r="J85" s="325">
        <v>29839.25</v>
      </c>
      <c r="N85" s="321">
        <v>44287</v>
      </c>
      <c r="O85" s="324">
        <v>256</v>
      </c>
      <c r="P85" s="324">
        <v>256</v>
      </c>
      <c r="Q85" s="319">
        <v>9</v>
      </c>
      <c r="R85" s="321">
        <v>44239</v>
      </c>
      <c r="S85" s="327">
        <v>44693</v>
      </c>
      <c r="T85" s="319"/>
      <c r="U85" s="319"/>
      <c r="V85" s="319"/>
      <c r="W85" s="321">
        <v>44686</v>
      </c>
      <c r="X85" s="324">
        <v>57798194</v>
      </c>
      <c r="Y85" s="327"/>
      <c r="Z85" s="324">
        <v>1401206941</v>
      </c>
      <c r="AA85" s="327"/>
      <c r="AB85" s="322">
        <v>92</v>
      </c>
      <c r="AG85" s="312" t="s">
        <v>2254</v>
      </c>
    </row>
    <row r="86" spans="1:33" x14ac:dyDescent="0.25">
      <c r="A86" s="429">
        <v>81</v>
      </c>
      <c r="B86" s="320" t="s">
        <v>841</v>
      </c>
      <c r="C86" s="321">
        <v>44362</v>
      </c>
      <c r="D86" s="319" t="s">
        <v>753</v>
      </c>
      <c r="E86" s="319" t="s">
        <v>889</v>
      </c>
      <c r="F86" s="411">
        <v>970540007997</v>
      </c>
      <c r="G86" s="319" t="s">
        <v>872</v>
      </c>
      <c r="H86" s="412">
        <v>111240020442</v>
      </c>
      <c r="I86" s="328">
        <v>3185907288</v>
      </c>
      <c r="J86" s="325">
        <v>14982.7</v>
      </c>
      <c r="N86" s="321">
        <v>44390</v>
      </c>
      <c r="O86" s="324">
        <v>184</v>
      </c>
      <c r="P86" s="324">
        <v>184</v>
      </c>
      <c r="Q86" s="319">
        <v>12</v>
      </c>
      <c r="R86" s="321">
        <v>44286</v>
      </c>
      <c r="S86" s="327">
        <v>44742</v>
      </c>
      <c r="T86" s="319"/>
      <c r="U86" s="319"/>
      <c r="V86" s="319"/>
      <c r="W86" s="321">
        <v>44672</v>
      </c>
      <c r="X86" s="324">
        <v>26936820</v>
      </c>
      <c r="Y86" s="327"/>
      <c r="Z86" s="327"/>
      <c r="AA86" s="327"/>
      <c r="AB86" s="322">
        <v>68</v>
      </c>
      <c r="AG86" s="312" t="s">
        <v>2254</v>
      </c>
    </row>
    <row r="87" spans="1:33" x14ac:dyDescent="0.25">
      <c r="A87" s="429">
        <v>82</v>
      </c>
      <c r="B87" s="320" t="s">
        <v>842</v>
      </c>
      <c r="C87" s="321">
        <v>44321</v>
      </c>
      <c r="D87" s="319" t="s">
        <v>1179</v>
      </c>
      <c r="E87" s="319" t="s">
        <v>888</v>
      </c>
      <c r="F87" s="337" t="s">
        <v>2108</v>
      </c>
      <c r="G87" s="319" t="s">
        <v>873</v>
      </c>
      <c r="H87" s="337" t="s">
        <v>2127</v>
      </c>
      <c r="I87" s="328">
        <v>9247229121</v>
      </c>
      <c r="J87" s="325">
        <v>37650.199999999997</v>
      </c>
      <c r="N87" s="321">
        <v>44355</v>
      </c>
      <c r="O87" s="324">
        <v>328</v>
      </c>
      <c r="P87" s="324">
        <v>360</v>
      </c>
      <c r="Q87" s="319" t="s">
        <v>193</v>
      </c>
      <c r="R87" s="321">
        <v>44222</v>
      </c>
      <c r="S87" s="327">
        <v>44707</v>
      </c>
      <c r="T87" s="319"/>
      <c r="U87" s="319"/>
      <c r="V87" s="319"/>
      <c r="W87" s="321">
        <v>44694</v>
      </c>
      <c r="X87" s="324">
        <v>78601448</v>
      </c>
      <c r="Y87" s="327"/>
      <c r="Z87" s="327"/>
      <c r="AA87" s="327"/>
      <c r="AB87" s="322">
        <v>70</v>
      </c>
      <c r="AG87" s="312" t="s">
        <v>2254</v>
      </c>
    </row>
    <row r="88" spans="1:33" x14ac:dyDescent="0.25">
      <c r="A88" s="429">
        <v>83</v>
      </c>
      <c r="B88" s="320" t="s">
        <v>843</v>
      </c>
      <c r="C88" s="321">
        <v>44217</v>
      </c>
      <c r="D88" s="319" t="s">
        <v>1179</v>
      </c>
      <c r="E88" s="319" t="s">
        <v>695</v>
      </c>
      <c r="F88" s="334">
        <v>960340000376</v>
      </c>
      <c r="G88" s="319" t="s">
        <v>717</v>
      </c>
      <c r="H88" s="337" t="s">
        <v>1967</v>
      </c>
      <c r="I88" s="328">
        <v>2762404808</v>
      </c>
      <c r="J88" s="325">
        <v>17400.61</v>
      </c>
      <c r="N88" s="321">
        <v>44239</v>
      </c>
      <c r="O88" s="324">
        <v>136</v>
      </c>
      <c r="P88" s="413">
        <v>136</v>
      </c>
      <c r="Q88" s="319">
        <v>18</v>
      </c>
      <c r="R88" s="321">
        <v>44187</v>
      </c>
      <c r="S88" s="327">
        <v>44795</v>
      </c>
      <c r="T88" s="319"/>
      <c r="U88" s="319"/>
      <c r="V88" s="319"/>
      <c r="W88" s="321">
        <v>44792</v>
      </c>
      <c r="X88" s="324">
        <v>25201828</v>
      </c>
      <c r="Y88" s="327"/>
      <c r="Z88" s="324">
        <v>1080839705</v>
      </c>
      <c r="AA88" s="327"/>
      <c r="AB88" s="322">
        <v>84</v>
      </c>
      <c r="AG88" s="312" t="s">
        <v>2254</v>
      </c>
    </row>
    <row r="89" spans="1:33" x14ac:dyDescent="0.25">
      <c r="A89" s="429">
        <v>84</v>
      </c>
      <c r="B89" s="320" t="s">
        <v>844</v>
      </c>
      <c r="C89" s="321">
        <v>44462</v>
      </c>
      <c r="D89" s="319" t="s">
        <v>1179</v>
      </c>
      <c r="E89" s="319" t="s">
        <v>887</v>
      </c>
      <c r="F89" s="337" t="s">
        <v>2101</v>
      </c>
      <c r="G89" s="319" t="s">
        <v>2128</v>
      </c>
      <c r="H89" s="337" t="s">
        <v>2129</v>
      </c>
      <c r="I89" s="328">
        <v>8276765515</v>
      </c>
      <c r="J89" s="325">
        <v>29337.95</v>
      </c>
      <c r="N89" s="321">
        <v>44474</v>
      </c>
      <c r="O89" s="324">
        <v>322</v>
      </c>
      <c r="P89" s="324">
        <v>332</v>
      </c>
      <c r="Q89" s="319">
        <v>9</v>
      </c>
      <c r="R89" s="321">
        <v>44302</v>
      </c>
      <c r="S89" s="327">
        <v>44758</v>
      </c>
      <c r="T89" s="319"/>
      <c r="U89" s="319"/>
      <c r="V89" s="319"/>
      <c r="W89" s="321">
        <v>44719</v>
      </c>
      <c r="X89" s="324">
        <v>72595753</v>
      </c>
      <c r="Y89" s="327"/>
      <c r="Z89" s="327"/>
      <c r="AA89" s="327"/>
      <c r="AB89" s="322">
        <v>72</v>
      </c>
      <c r="AG89" s="312" t="s">
        <v>2254</v>
      </c>
    </row>
    <row r="90" spans="1:33" x14ac:dyDescent="0.25">
      <c r="A90" s="429">
        <v>85</v>
      </c>
      <c r="B90" s="320" t="s">
        <v>845</v>
      </c>
      <c r="C90" s="321">
        <v>44287</v>
      </c>
      <c r="D90" s="319" t="s">
        <v>753</v>
      </c>
      <c r="E90" s="322" t="s">
        <v>953</v>
      </c>
      <c r="F90" s="323" t="s">
        <v>2106</v>
      </c>
      <c r="G90" s="319" t="s">
        <v>874</v>
      </c>
      <c r="H90" s="323" t="s">
        <v>2201</v>
      </c>
      <c r="I90" s="328">
        <v>3001447327</v>
      </c>
      <c r="J90" s="325">
        <v>14814.8</v>
      </c>
      <c r="N90" s="321">
        <v>44342</v>
      </c>
      <c r="O90" s="324">
        <v>165</v>
      </c>
      <c r="P90" s="324">
        <v>165</v>
      </c>
      <c r="Q90" s="319">
        <v>12</v>
      </c>
      <c r="R90" s="321">
        <v>44187</v>
      </c>
      <c r="S90" s="327">
        <v>44734</v>
      </c>
      <c r="T90" s="319"/>
      <c r="U90" s="319"/>
      <c r="V90" s="319"/>
      <c r="W90" s="321">
        <v>44722</v>
      </c>
      <c r="X90" s="324">
        <v>29331899</v>
      </c>
      <c r="Y90" s="327" t="s">
        <v>663</v>
      </c>
      <c r="Z90" s="324">
        <v>862013053</v>
      </c>
      <c r="AA90" s="327" t="s">
        <v>621</v>
      </c>
      <c r="AB90" s="322">
        <v>98</v>
      </c>
      <c r="AG90" s="312" t="s">
        <v>2254</v>
      </c>
    </row>
    <row r="91" spans="1:33" x14ac:dyDescent="0.25">
      <c r="A91" s="429">
        <v>86</v>
      </c>
      <c r="B91" s="320" t="s">
        <v>846</v>
      </c>
      <c r="C91" s="321">
        <v>44375</v>
      </c>
      <c r="D91" s="319" t="s">
        <v>753</v>
      </c>
      <c r="E91" s="319" t="s">
        <v>685</v>
      </c>
      <c r="F91" s="337" t="s">
        <v>1955</v>
      </c>
      <c r="G91" s="319" t="s">
        <v>688</v>
      </c>
      <c r="H91" s="323" t="s">
        <v>2187</v>
      </c>
      <c r="I91" s="328">
        <v>7142974193</v>
      </c>
      <c r="J91" s="325">
        <v>73948.3</v>
      </c>
      <c r="N91" s="321">
        <v>44392</v>
      </c>
      <c r="O91" s="324">
        <v>882</v>
      </c>
      <c r="P91" s="324">
        <v>1058</v>
      </c>
      <c r="Q91" s="319">
        <v>9</v>
      </c>
      <c r="R91" s="321">
        <v>44347</v>
      </c>
      <c r="S91" s="327">
        <v>44742</v>
      </c>
      <c r="T91" s="319"/>
      <c r="U91" s="319"/>
      <c r="V91" s="319"/>
      <c r="W91" s="321">
        <v>44719</v>
      </c>
      <c r="X91" s="324">
        <v>71429472</v>
      </c>
      <c r="Y91" s="327" t="s">
        <v>661</v>
      </c>
      <c r="Z91" s="327"/>
      <c r="AA91" s="327" t="s">
        <v>595</v>
      </c>
      <c r="AB91" s="322">
        <v>68</v>
      </c>
      <c r="AG91" s="312" t="s">
        <v>2254</v>
      </c>
    </row>
    <row r="92" spans="1:33" x14ac:dyDescent="0.25">
      <c r="A92" s="429">
        <v>87</v>
      </c>
      <c r="B92" s="320" t="s">
        <v>848</v>
      </c>
      <c r="C92" s="321">
        <v>44455</v>
      </c>
      <c r="D92" s="319" t="s">
        <v>753</v>
      </c>
      <c r="E92" s="319" t="s">
        <v>685</v>
      </c>
      <c r="F92" s="337" t="s">
        <v>1955</v>
      </c>
      <c r="G92" s="319" t="s">
        <v>875</v>
      </c>
      <c r="H92" s="337" t="s">
        <v>2196</v>
      </c>
      <c r="I92" s="328">
        <v>7304262241</v>
      </c>
      <c r="J92" s="325">
        <v>80501.600000000006</v>
      </c>
      <c r="N92" s="321">
        <v>44469</v>
      </c>
      <c r="O92" s="324">
        <v>980</v>
      </c>
      <c r="P92" s="324">
        <v>980</v>
      </c>
      <c r="Q92" s="319">
        <v>5</v>
      </c>
      <c r="R92" s="321">
        <v>44410</v>
      </c>
      <c r="S92" s="327">
        <v>44744</v>
      </c>
      <c r="T92" s="319"/>
      <c r="U92" s="319"/>
      <c r="V92" s="319"/>
      <c r="W92" s="321">
        <v>44741</v>
      </c>
      <c r="X92" s="324">
        <v>73042624</v>
      </c>
      <c r="Y92" s="327" t="s">
        <v>1757</v>
      </c>
      <c r="Z92" s="327"/>
      <c r="AA92" s="327" t="s">
        <v>595</v>
      </c>
      <c r="AB92" s="322">
        <v>68</v>
      </c>
      <c r="AG92" s="312" t="s">
        <v>2254</v>
      </c>
    </row>
    <row r="93" spans="1:33" x14ac:dyDescent="0.25">
      <c r="A93" s="429">
        <v>88</v>
      </c>
      <c r="B93" s="320" t="s">
        <v>849</v>
      </c>
      <c r="C93" s="321">
        <v>44509</v>
      </c>
      <c r="D93" s="319" t="s">
        <v>753</v>
      </c>
      <c r="E93" s="319" t="s">
        <v>685</v>
      </c>
      <c r="F93" s="337" t="s">
        <v>1955</v>
      </c>
      <c r="G93" s="319" t="s">
        <v>875</v>
      </c>
      <c r="H93" s="337" t="s">
        <v>2196</v>
      </c>
      <c r="I93" s="328">
        <v>4899793782</v>
      </c>
      <c r="J93" s="325">
        <v>60494</v>
      </c>
      <c r="N93" s="321">
        <v>44525</v>
      </c>
      <c r="O93" s="324">
        <v>730</v>
      </c>
      <c r="P93" s="324">
        <v>730</v>
      </c>
      <c r="Q93" s="319">
        <v>5</v>
      </c>
      <c r="R93" s="321">
        <v>44410</v>
      </c>
      <c r="S93" s="327">
        <v>44744</v>
      </c>
      <c r="T93" s="319"/>
      <c r="U93" s="319"/>
      <c r="V93" s="319"/>
      <c r="W93" s="321">
        <v>44741</v>
      </c>
      <c r="X93" s="324">
        <v>48997938</v>
      </c>
      <c r="Y93" s="327" t="s">
        <v>1758</v>
      </c>
      <c r="Z93" s="327"/>
      <c r="AA93" s="327" t="s">
        <v>595</v>
      </c>
      <c r="AB93" s="322">
        <v>68</v>
      </c>
      <c r="AG93" s="312" t="s">
        <v>2254</v>
      </c>
    </row>
    <row r="94" spans="1:33" x14ac:dyDescent="0.25">
      <c r="A94" s="429">
        <v>89</v>
      </c>
      <c r="B94" s="320" t="s">
        <v>850</v>
      </c>
      <c r="C94" s="321">
        <v>44404</v>
      </c>
      <c r="D94" s="319" t="s">
        <v>174</v>
      </c>
      <c r="E94" s="319" t="s">
        <v>693</v>
      </c>
      <c r="F94" s="337" t="s">
        <v>1643</v>
      </c>
      <c r="G94" s="319" t="s">
        <v>876</v>
      </c>
      <c r="H94" s="323" t="s">
        <v>2030</v>
      </c>
      <c r="I94" s="328">
        <v>6015465822</v>
      </c>
      <c r="J94" s="325">
        <v>24557.72</v>
      </c>
      <c r="N94" s="321">
        <v>44421</v>
      </c>
      <c r="O94" s="324">
        <v>288</v>
      </c>
      <c r="P94" s="324">
        <v>288</v>
      </c>
      <c r="Q94" s="319">
        <v>9</v>
      </c>
      <c r="R94" s="321">
        <v>44348</v>
      </c>
      <c r="S94" s="327">
        <v>44805</v>
      </c>
      <c r="T94" s="319"/>
      <c r="U94" s="319"/>
      <c r="V94" s="319"/>
      <c r="W94" s="321">
        <v>44754</v>
      </c>
      <c r="X94" s="324">
        <v>60154658</v>
      </c>
      <c r="Y94" s="327" t="s">
        <v>664</v>
      </c>
      <c r="Z94" s="327"/>
      <c r="AA94" s="327" t="s">
        <v>599</v>
      </c>
      <c r="AB94" s="322">
        <v>88</v>
      </c>
      <c r="AG94" s="312" t="s">
        <v>2254</v>
      </c>
    </row>
    <row r="95" spans="1:33" x14ac:dyDescent="0.25">
      <c r="A95" s="429">
        <v>90</v>
      </c>
      <c r="B95" s="320" t="s">
        <v>851</v>
      </c>
      <c r="C95" s="321">
        <v>44238</v>
      </c>
      <c r="D95" s="319" t="s">
        <v>753</v>
      </c>
      <c r="E95" s="319" t="s">
        <v>685</v>
      </c>
      <c r="F95" s="337" t="s">
        <v>1955</v>
      </c>
      <c r="G95" s="319" t="s">
        <v>877</v>
      </c>
      <c r="H95" s="337" t="s">
        <v>2173</v>
      </c>
      <c r="I95" s="328">
        <v>4039352205</v>
      </c>
      <c r="J95" s="325">
        <v>47954.7</v>
      </c>
      <c r="N95" s="321">
        <v>44257</v>
      </c>
      <c r="O95" s="324">
        <v>353</v>
      </c>
      <c r="P95" s="324">
        <v>374</v>
      </c>
      <c r="Q95" s="319" t="s">
        <v>72</v>
      </c>
      <c r="R95" s="321">
        <v>44119</v>
      </c>
      <c r="S95" s="327">
        <v>44757</v>
      </c>
      <c r="T95" s="319"/>
      <c r="U95" s="319"/>
      <c r="V95" s="319"/>
      <c r="W95" s="321">
        <v>44750</v>
      </c>
      <c r="X95" s="324">
        <v>40393522</v>
      </c>
      <c r="Y95" s="319" t="s">
        <v>618</v>
      </c>
      <c r="Z95" s="319"/>
      <c r="AA95" s="319" t="s">
        <v>617</v>
      </c>
      <c r="AB95" s="322">
        <v>95</v>
      </c>
      <c r="AG95" s="312" t="s">
        <v>2254</v>
      </c>
    </row>
    <row r="96" spans="1:33" x14ac:dyDescent="0.25">
      <c r="A96" s="429">
        <v>91</v>
      </c>
      <c r="B96" s="320" t="s">
        <v>852</v>
      </c>
      <c r="C96" s="321">
        <v>44306</v>
      </c>
      <c r="D96" s="319" t="s">
        <v>1179</v>
      </c>
      <c r="E96" s="319" t="s">
        <v>886</v>
      </c>
      <c r="F96" s="337" t="s">
        <v>2099</v>
      </c>
      <c r="G96" s="319" t="s">
        <v>878</v>
      </c>
      <c r="H96" s="337" t="s">
        <v>2150</v>
      </c>
      <c r="I96" s="328">
        <v>3601621272</v>
      </c>
      <c r="J96" s="325">
        <v>17438.599999999999</v>
      </c>
      <c r="N96" s="321">
        <v>44330</v>
      </c>
      <c r="O96" s="324">
        <v>165</v>
      </c>
      <c r="P96" s="324">
        <v>165</v>
      </c>
      <c r="Q96" s="319">
        <v>7</v>
      </c>
      <c r="R96" s="321">
        <v>44246</v>
      </c>
      <c r="S96" s="327">
        <v>44792</v>
      </c>
      <c r="T96" s="319"/>
      <c r="U96" s="319"/>
      <c r="V96" s="319"/>
      <c r="W96" s="321">
        <v>44706</v>
      </c>
      <c r="X96" s="324">
        <v>35250302</v>
      </c>
      <c r="Y96" s="319" t="s">
        <v>624</v>
      </c>
      <c r="Z96" s="319"/>
      <c r="AA96" s="319" t="s">
        <v>596</v>
      </c>
      <c r="AB96" s="322">
        <v>80</v>
      </c>
      <c r="AG96" s="312" t="s">
        <v>2254</v>
      </c>
    </row>
    <row r="97" spans="1:33" x14ac:dyDescent="0.25">
      <c r="A97" s="429">
        <v>92</v>
      </c>
      <c r="B97" s="320" t="s">
        <v>799</v>
      </c>
      <c r="C97" s="321">
        <v>44341</v>
      </c>
      <c r="D97" s="319" t="s">
        <v>1179</v>
      </c>
      <c r="E97" s="319" t="s">
        <v>716</v>
      </c>
      <c r="F97" s="334">
        <v>960340000376</v>
      </c>
      <c r="G97" s="319" t="s">
        <v>720</v>
      </c>
      <c r="H97" s="337" t="s">
        <v>2182</v>
      </c>
      <c r="I97" s="328">
        <v>2037222803</v>
      </c>
      <c r="J97" s="325">
        <v>16601</v>
      </c>
      <c r="N97" s="321">
        <v>44358</v>
      </c>
      <c r="O97" s="324">
        <v>114</v>
      </c>
      <c r="P97" s="324">
        <v>114</v>
      </c>
      <c r="Q97" s="319">
        <v>7</v>
      </c>
      <c r="R97" s="321">
        <v>44271</v>
      </c>
      <c r="S97" s="327">
        <v>44880</v>
      </c>
      <c r="T97" s="319"/>
      <c r="U97" s="319"/>
      <c r="V97" s="319"/>
      <c r="W97" s="321">
        <v>44725</v>
      </c>
      <c r="X97" s="324"/>
      <c r="Y97" s="340"/>
      <c r="Z97" s="319"/>
      <c r="AA97" s="319"/>
      <c r="AB97" s="322">
        <v>84</v>
      </c>
      <c r="AG97" s="312" t="s">
        <v>2254</v>
      </c>
    </row>
    <row r="98" spans="1:33" x14ac:dyDescent="0.25">
      <c r="A98" s="429">
        <v>93</v>
      </c>
      <c r="B98" s="320" t="s">
        <v>853</v>
      </c>
      <c r="C98" s="321">
        <v>44434</v>
      </c>
      <c r="D98" s="319" t="s">
        <v>1179</v>
      </c>
      <c r="E98" s="319" t="s">
        <v>885</v>
      </c>
      <c r="F98" s="323" t="s">
        <v>1877</v>
      </c>
      <c r="G98" s="319" t="s">
        <v>879</v>
      </c>
      <c r="H98" s="337" t="s">
        <v>2167</v>
      </c>
      <c r="I98" s="328">
        <v>7302547392</v>
      </c>
      <c r="J98" s="325">
        <v>26569.7</v>
      </c>
      <c r="N98" s="321">
        <v>44454</v>
      </c>
      <c r="O98" s="324">
        <v>285</v>
      </c>
      <c r="P98" s="324">
        <v>285</v>
      </c>
      <c r="Q98" s="319">
        <v>9</v>
      </c>
      <c r="R98" s="321">
        <v>44334</v>
      </c>
      <c r="S98" s="327">
        <v>44793</v>
      </c>
      <c r="T98" s="319"/>
      <c r="U98" s="319"/>
      <c r="V98" s="319"/>
      <c r="W98" s="321">
        <v>44726</v>
      </c>
      <c r="X98" s="324">
        <v>46197444</v>
      </c>
      <c r="Y98" s="462" t="s">
        <v>638</v>
      </c>
      <c r="Z98" s="319"/>
      <c r="AA98" s="319" t="s">
        <v>617</v>
      </c>
      <c r="AB98" s="322">
        <v>93</v>
      </c>
      <c r="AG98" s="312" t="s">
        <v>2254</v>
      </c>
    </row>
    <row r="99" spans="1:33" x14ac:dyDescent="0.25">
      <c r="A99" s="429">
        <v>94</v>
      </c>
      <c r="B99" s="320" t="s">
        <v>854</v>
      </c>
      <c r="C99" s="321">
        <v>44270</v>
      </c>
      <c r="D99" s="319" t="s">
        <v>1179</v>
      </c>
      <c r="E99" s="319" t="s">
        <v>734</v>
      </c>
      <c r="F99" s="337" t="s">
        <v>2098</v>
      </c>
      <c r="G99" s="319" t="s">
        <v>880</v>
      </c>
      <c r="H99" s="337" t="s">
        <v>2157</v>
      </c>
      <c r="I99" s="328">
        <v>9031081158</v>
      </c>
      <c r="J99" s="325">
        <v>51904.6</v>
      </c>
      <c r="N99" s="321">
        <v>44287</v>
      </c>
      <c r="O99" s="324">
        <v>400</v>
      </c>
      <c r="P99" s="324">
        <v>447</v>
      </c>
      <c r="Q99" s="319" t="s">
        <v>52</v>
      </c>
      <c r="R99" s="321">
        <v>44240</v>
      </c>
      <c r="S99" s="327">
        <v>45029</v>
      </c>
      <c r="T99" s="319"/>
      <c r="U99" s="319"/>
      <c r="V99" s="319"/>
      <c r="W99" s="321">
        <v>44736</v>
      </c>
      <c r="X99" s="324">
        <v>87400172</v>
      </c>
      <c r="Y99" s="319" t="s">
        <v>623</v>
      </c>
      <c r="Z99" s="324">
        <v>3732693043</v>
      </c>
      <c r="AA99" s="319" t="s">
        <v>617</v>
      </c>
      <c r="AB99" s="322">
        <v>92</v>
      </c>
      <c r="AG99" s="312" t="s">
        <v>2254</v>
      </c>
    </row>
    <row r="100" spans="1:33" x14ac:dyDescent="0.25">
      <c r="A100" s="429">
        <v>95</v>
      </c>
      <c r="B100" s="320" t="s">
        <v>1177</v>
      </c>
      <c r="C100" s="321">
        <v>44250</v>
      </c>
      <c r="D100" s="319" t="s">
        <v>1179</v>
      </c>
      <c r="E100" s="319" t="s">
        <v>716</v>
      </c>
      <c r="F100" s="334">
        <v>960340000376</v>
      </c>
      <c r="G100" s="319" t="s">
        <v>823</v>
      </c>
      <c r="H100" s="337" t="s">
        <v>2141</v>
      </c>
      <c r="I100" s="328">
        <v>3619711613</v>
      </c>
      <c r="J100" s="325">
        <v>21468.49</v>
      </c>
      <c r="N100" s="321">
        <v>44285</v>
      </c>
      <c r="O100" s="324">
        <v>141</v>
      </c>
      <c r="P100" s="324">
        <v>141</v>
      </c>
      <c r="Q100" s="319" t="s">
        <v>47</v>
      </c>
      <c r="R100" s="321">
        <v>44224</v>
      </c>
      <c r="S100" s="327">
        <v>44862</v>
      </c>
      <c r="T100" s="319"/>
      <c r="U100" s="319"/>
      <c r="V100" s="319"/>
      <c r="W100" s="321">
        <v>44846</v>
      </c>
      <c r="X100" s="324" t="s">
        <v>620</v>
      </c>
      <c r="Y100" s="319" t="s">
        <v>622</v>
      </c>
      <c r="Z100" s="324">
        <v>910647998</v>
      </c>
      <c r="AA100" s="319" t="s">
        <v>621</v>
      </c>
      <c r="AB100" s="322">
        <v>84</v>
      </c>
      <c r="AG100" s="312" t="s">
        <v>2254</v>
      </c>
    </row>
    <row r="101" spans="1:33" x14ac:dyDescent="0.25">
      <c r="A101" s="429">
        <v>96</v>
      </c>
      <c r="B101" s="320" t="s">
        <v>855</v>
      </c>
      <c r="C101" s="321">
        <v>44329</v>
      </c>
      <c r="D101" s="319" t="s">
        <v>1179</v>
      </c>
      <c r="E101" s="319" t="s">
        <v>725</v>
      </c>
      <c r="F101" s="337" t="s">
        <v>2098</v>
      </c>
      <c r="G101" s="319" t="s">
        <v>881</v>
      </c>
      <c r="H101" s="337" t="s">
        <v>2158</v>
      </c>
      <c r="I101" s="328">
        <v>10144630208</v>
      </c>
      <c r="J101" s="325">
        <v>44759.28</v>
      </c>
      <c r="N101" s="321">
        <v>44337</v>
      </c>
      <c r="O101" s="324">
        <v>509</v>
      </c>
      <c r="P101" s="324">
        <v>509</v>
      </c>
      <c r="Q101" s="319" t="s">
        <v>221</v>
      </c>
      <c r="R101" s="321" t="s">
        <v>230</v>
      </c>
      <c r="S101" s="324" t="s">
        <v>2252</v>
      </c>
      <c r="T101" s="319"/>
      <c r="U101" s="319"/>
      <c r="V101" s="319"/>
      <c r="W101" s="324" t="s">
        <v>2253</v>
      </c>
      <c r="X101" s="324">
        <v>92785465</v>
      </c>
      <c r="Y101" s="319" t="s">
        <v>627</v>
      </c>
      <c r="Z101" s="324">
        <v>902792318</v>
      </c>
      <c r="AA101" s="319" t="s">
        <v>607</v>
      </c>
      <c r="AB101" s="322">
        <v>92</v>
      </c>
      <c r="AG101" s="312" t="s">
        <v>2254</v>
      </c>
    </row>
    <row r="102" spans="1:33" x14ac:dyDescent="0.25">
      <c r="A102" s="429">
        <v>97</v>
      </c>
      <c r="B102" s="320" t="s">
        <v>856</v>
      </c>
      <c r="C102" s="321">
        <v>44378</v>
      </c>
      <c r="D102" s="319" t="s">
        <v>1179</v>
      </c>
      <c r="E102" s="319" t="s">
        <v>884</v>
      </c>
      <c r="F102" s="337" t="s">
        <v>2111</v>
      </c>
      <c r="G102" s="319" t="s">
        <v>745</v>
      </c>
      <c r="H102" s="337"/>
      <c r="I102" s="328">
        <v>3605450598</v>
      </c>
      <c r="J102" s="325">
        <v>15375.4</v>
      </c>
      <c r="N102" s="321">
        <v>44396</v>
      </c>
      <c r="O102" s="324">
        <v>119</v>
      </c>
      <c r="P102" s="324">
        <v>119</v>
      </c>
      <c r="Q102" s="319">
        <v>9</v>
      </c>
      <c r="R102" s="321">
        <v>44286</v>
      </c>
      <c r="S102" s="324">
        <v>44801</v>
      </c>
      <c r="T102" s="319"/>
      <c r="U102" s="319"/>
      <c r="V102" s="319"/>
      <c r="W102" s="321">
        <v>44798</v>
      </c>
      <c r="X102" s="324">
        <v>32377526</v>
      </c>
      <c r="Y102" s="319" t="s">
        <v>630</v>
      </c>
      <c r="Z102" s="324"/>
      <c r="AA102" s="319" t="s">
        <v>604</v>
      </c>
      <c r="AB102" s="322">
        <v>69</v>
      </c>
      <c r="AG102" s="312" t="s">
        <v>2254</v>
      </c>
    </row>
    <row r="103" spans="1:33" x14ac:dyDescent="0.25">
      <c r="A103" s="429">
        <v>98</v>
      </c>
      <c r="B103" s="320" t="s">
        <v>857</v>
      </c>
      <c r="C103" s="321">
        <v>44210</v>
      </c>
      <c r="D103" s="319" t="s">
        <v>753</v>
      </c>
      <c r="E103" s="322" t="s">
        <v>953</v>
      </c>
      <c r="F103" s="323" t="s">
        <v>2106</v>
      </c>
      <c r="G103" s="319" t="s">
        <v>882</v>
      </c>
      <c r="H103" s="337" t="s">
        <v>2183</v>
      </c>
      <c r="I103" s="328">
        <v>7334042282</v>
      </c>
      <c r="J103" s="325">
        <v>21624.98</v>
      </c>
      <c r="N103" s="321">
        <v>44244</v>
      </c>
      <c r="O103" s="324">
        <v>198</v>
      </c>
      <c r="P103" s="324">
        <v>198</v>
      </c>
      <c r="Q103" s="319">
        <v>12</v>
      </c>
      <c r="R103" s="321">
        <v>44111</v>
      </c>
      <c r="S103" s="327">
        <v>44780</v>
      </c>
      <c r="T103" s="319"/>
      <c r="U103" s="319"/>
      <c r="V103" s="319"/>
      <c r="W103" s="321">
        <v>44776</v>
      </c>
      <c r="X103" s="324">
        <v>71193946</v>
      </c>
      <c r="Y103" s="319" t="s">
        <v>616</v>
      </c>
      <c r="Z103" s="324">
        <v>2641969715</v>
      </c>
      <c r="AA103" s="319" t="s">
        <v>604</v>
      </c>
      <c r="AB103" s="322">
        <v>98</v>
      </c>
      <c r="AG103" s="312" t="s">
        <v>2254</v>
      </c>
    </row>
    <row r="104" spans="1:33" x14ac:dyDescent="0.25">
      <c r="A104" s="429">
        <v>99</v>
      </c>
      <c r="B104" s="320" t="s">
        <v>858</v>
      </c>
      <c r="C104" s="321">
        <v>44308</v>
      </c>
      <c r="D104" s="319" t="s">
        <v>753</v>
      </c>
      <c r="E104" s="319" t="s">
        <v>716</v>
      </c>
      <c r="F104" s="334">
        <v>960340000376</v>
      </c>
      <c r="G104" s="319" t="s">
        <v>782</v>
      </c>
      <c r="H104" s="337" t="s">
        <v>2142</v>
      </c>
      <c r="I104" s="328">
        <v>3965211099</v>
      </c>
      <c r="J104" s="325">
        <v>18625.47</v>
      </c>
      <c r="N104" s="321">
        <v>44333</v>
      </c>
      <c r="O104" s="324">
        <v>252</v>
      </c>
      <c r="P104" s="324">
        <v>252</v>
      </c>
      <c r="Q104" s="319">
        <v>15</v>
      </c>
      <c r="R104" s="321">
        <v>44238</v>
      </c>
      <c r="S104" s="327">
        <v>44784</v>
      </c>
      <c r="T104" s="319"/>
      <c r="U104" s="319"/>
      <c r="V104" s="319"/>
      <c r="W104" s="321">
        <v>44778</v>
      </c>
      <c r="X104" s="324">
        <v>38532731</v>
      </c>
      <c r="Y104" s="319" t="s">
        <v>625</v>
      </c>
      <c r="Z104" s="324">
        <v>1760719780</v>
      </c>
      <c r="AA104" s="319" t="s">
        <v>604</v>
      </c>
      <c r="AB104" s="322">
        <v>84</v>
      </c>
      <c r="AG104" s="312" t="s">
        <v>2254</v>
      </c>
    </row>
    <row r="105" spans="1:33" x14ac:dyDescent="0.25">
      <c r="A105" s="429">
        <v>100</v>
      </c>
      <c r="B105" s="320" t="s">
        <v>859</v>
      </c>
      <c r="C105" s="321">
        <v>44427</v>
      </c>
      <c r="D105" s="319" t="s">
        <v>1179</v>
      </c>
      <c r="E105" s="319" t="s">
        <v>695</v>
      </c>
      <c r="F105" s="334">
        <v>960340000376</v>
      </c>
      <c r="G105" s="319" t="s">
        <v>883</v>
      </c>
      <c r="H105" s="337" t="s">
        <v>1620</v>
      </c>
      <c r="I105" s="328">
        <v>2587390887</v>
      </c>
      <c r="J105" s="325">
        <v>17638.599999999999</v>
      </c>
      <c r="N105" s="321">
        <v>44462</v>
      </c>
      <c r="O105" s="324">
        <v>305</v>
      </c>
      <c r="P105" s="324">
        <v>305</v>
      </c>
      <c r="Q105" s="319">
        <v>16.190000000000001</v>
      </c>
      <c r="R105" s="321" t="s">
        <v>459</v>
      </c>
      <c r="S105" s="327">
        <v>44850</v>
      </c>
      <c r="T105" s="319"/>
      <c r="U105" s="319"/>
      <c r="V105" s="319"/>
      <c r="W105" s="321">
        <v>44763</v>
      </c>
      <c r="X105" s="324" t="s">
        <v>640</v>
      </c>
      <c r="Y105" s="319" t="s">
        <v>641</v>
      </c>
      <c r="Z105" s="324">
        <v>548126503</v>
      </c>
      <c r="AA105" s="319" t="s">
        <v>596</v>
      </c>
      <c r="AB105" s="322">
        <v>74</v>
      </c>
      <c r="AG105" s="312" t="s">
        <v>2254</v>
      </c>
    </row>
    <row r="106" spans="1:33" x14ac:dyDescent="0.25">
      <c r="A106" s="430"/>
      <c r="B106" s="346" t="s">
        <v>2241</v>
      </c>
      <c r="C106" s="321">
        <v>44726</v>
      </c>
      <c r="D106" s="319" t="s">
        <v>1179</v>
      </c>
      <c r="E106" s="319" t="s">
        <v>695</v>
      </c>
      <c r="F106" s="334">
        <v>960340000376</v>
      </c>
      <c r="G106" s="319" t="s">
        <v>883</v>
      </c>
      <c r="H106" s="337" t="s">
        <v>1620</v>
      </c>
      <c r="I106" s="328">
        <v>1691059141</v>
      </c>
      <c r="J106" s="325">
        <v>0</v>
      </c>
      <c r="N106" s="321">
        <v>44740</v>
      </c>
      <c r="O106" s="324">
        <v>0</v>
      </c>
      <c r="P106" s="324">
        <v>0</v>
      </c>
      <c r="Q106" s="319" t="s">
        <v>28</v>
      </c>
      <c r="R106" s="321">
        <v>44271</v>
      </c>
      <c r="S106" s="327">
        <v>44820</v>
      </c>
      <c r="T106" s="319"/>
      <c r="U106" s="319"/>
      <c r="V106" s="319"/>
      <c r="W106" s="321">
        <v>44763</v>
      </c>
      <c r="X106" s="324">
        <v>16910591</v>
      </c>
      <c r="Y106" s="319" t="s">
        <v>613</v>
      </c>
      <c r="Z106" s="324"/>
      <c r="AA106" s="319" t="s">
        <v>596</v>
      </c>
      <c r="AB106" s="322">
        <v>74</v>
      </c>
      <c r="AG106" s="312" t="s">
        <v>2254</v>
      </c>
    </row>
    <row r="107" spans="1:33" x14ac:dyDescent="0.25">
      <c r="A107" s="429">
        <v>101</v>
      </c>
      <c r="B107" s="320" t="s">
        <v>754</v>
      </c>
      <c r="C107" s="321">
        <v>44616</v>
      </c>
      <c r="D107" s="319" t="s">
        <v>2070</v>
      </c>
      <c r="E107" s="319" t="s">
        <v>758</v>
      </c>
      <c r="F107" s="323" t="s">
        <v>1645</v>
      </c>
      <c r="G107" s="319" t="s">
        <v>756</v>
      </c>
      <c r="H107" s="337" t="s">
        <v>2151</v>
      </c>
      <c r="I107" s="328">
        <v>1748059801</v>
      </c>
      <c r="J107" s="325">
        <v>12721.2</v>
      </c>
      <c r="N107" s="321">
        <v>44635</v>
      </c>
      <c r="O107" s="319">
        <v>190</v>
      </c>
      <c r="P107" s="310">
        <v>190</v>
      </c>
      <c r="Q107" s="319">
        <v>5</v>
      </c>
      <c r="R107" s="321">
        <v>44515</v>
      </c>
      <c r="S107" s="327">
        <v>44696</v>
      </c>
      <c r="T107" s="319"/>
      <c r="U107" s="319"/>
      <c r="V107" s="319"/>
      <c r="W107" s="321">
        <v>44656</v>
      </c>
      <c r="X107" s="324">
        <v>10854545</v>
      </c>
      <c r="Y107" s="324" t="s">
        <v>600</v>
      </c>
      <c r="Z107" s="327"/>
      <c r="AA107" s="327" t="s">
        <v>599</v>
      </c>
      <c r="AB107" s="322">
        <v>67</v>
      </c>
      <c r="AG107" s="312" t="s">
        <v>2254</v>
      </c>
    </row>
    <row r="108" spans="1:33" x14ac:dyDescent="0.25">
      <c r="A108" s="429">
        <v>102</v>
      </c>
      <c r="B108" s="320" t="s">
        <v>761</v>
      </c>
      <c r="C108" s="321">
        <v>44553</v>
      </c>
      <c r="D108" s="319" t="s">
        <v>1179</v>
      </c>
      <c r="E108" s="319" t="s">
        <v>682</v>
      </c>
      <c r="F108" s="337" t="s">
        <v>2091</v>
      </c>
      <c r="G108" s="319" t="s">
        <v>683</v>
      </c>
      <c r="H108" s="337" t="s">
        <v>2162</v>
      </c>
      <c r="I108" s="328">
        <v>4238097956</v>
      </c>
      <c r="J108" s="325">
        <v>15006.8</v>
      </c>
      <c r="N108" s="321">
        <v>44586</v>
      </c>
      <c r="O108" s="319">
        <v>200</v>
      </c>
      <c r="P108" s="310">
        <v>200</v>
      </c>
      <c r="Q108" s="319">
        <v>9</v>
      </c>
      <c r="R108" s="321">
        <v>44385</v>
      </c>
      <c r="S108" s="327">
        <v>44856</v>
      </c>
      <c r="T108" s="319"/>
      <c r="U108" s="319"/>
      <c r="V108" s="319"/>
      <c r="W108" s="321">
        <v>44785</v>
      </c>
      <c r="X108" s="324">
        <v>41688998</v>
      </c>
      <c r="Y108" s="324" t="s">
        <v>597</v>
      </c>
      <c r="Z108" s="327"/>
      <c r="AA108" s="327" t="s">
        <v>596</v>
      </c>
      <c r="AB108" s="322">
        <v>70</v>
      </c>
      <c r="AG108" s="312" t="s">
        <v>2254</v>
      </c>
    </row>
    <row r="109" spans="1:33" x14ac:dyDescent="0.25">
      <c r="A109" s="429">
        <v>103</v>
      </c>
      <c r="B109" s="320" t="s">
        <v>796</v>
      </c>
      <c r="C109" s="321">
        <v>44287</v>
      </c>
      <c r="D109" s="319" t="s">
        <v>753</v>
      </c>
      <c r="E109" s="319" t="s">
        <v>715</v>
      </c>
      <c r="F109" s="337" t="s">
        <v>1628</v>
      </c>
      <c r="G109" s="319" t="s">
        <v>817</v>
      </c>
      <c r="H109" s="323" t="s">
        <v>1628</v>
      </c>
      <c r="I109" s="328">
        <v>6168900838</v>
      </c>
      <c r="J109" s="325">
        <v>28382.78</v>
      </c>
      <c r="N109" s="321">
        <v>44300</v>
      </c>
      <c r="O109" s="319">
        <v>476</v>
      </c>
      <c r="P109" s="310">
        <v>476</v>
      </c>
      <c r="Q109" s="319">
        <v>9</v>
      </c>
      <c r="R109" s="321">
        <v>44218</v>
      </c>
      <c r="S109" s="327">
        <v>44856</v>
      </c>
      <c r="T109" s="319"/>
      <c r="U109" s="319"/>
      <c r="V109" s="319"/>
      <c r="W109" s="321">
        <v>44799</v>
      </c>
      <c r="X109" s="324">
        <v>61689008</v>
      </c>
      <c r="Y109" s="324" t="s">
        <v>1087</v>
      </c>
      <c r="Z109" s="327"/>
      <c r="AA109" s="327" t="s">
        <v>594</v>
      </c>
      <c r="AB109" s="322">
        <v>68</v>
      </c>
      <c r="AG109" s="312" t="s">
        <v>2254</v>
      </c>
    </row>
    <row r="110" spans="1:33" x14ac:dyDescent="0.25">
      <c r="A110" s="429">
        <v>104</v>
      </c>
      <c r="B110" s="320" t="s">
        <v>755</v>
      </c>
      <c r="C110" s="321">
        <v>44561</v>
      </c>
      <c r="D110" s="319" t="s">
        <v>753</v>
      </c>
      <c r="E110" s="319" t="s">
        <v>685</v>
      </c>
      <c r="F110" s="337" t="s">
        <v>1955</v>
      </c>
      <c r="G110" s="319" t="s">
        <v>757</v>
      </c>
      <c r="H110" s="337" t="s">
        <v>2119</v>
      </c>
      <c r="I110" s="328">
        <v>12284519587</v>
      </c>
      <c r="J110" s="325">
        <v>148546.6</v>
      </c>
      <c r="N110" s="321">
        <v>44585</v>
      </c>
      <c r="O110" s="319">
        <v>2142</v>
      </c>
      <c r="P110" s="310">
        <v>2140</v>
      </c>
      <c r="Q110" s="319">
        <v>9</v>
      </c>
      <c r="R110" s="321">
        <v>44555</v>
      </c>
      <c r="S110" s="327">
        <v>44982</v>
      </c>
      <c r="T110" s="319"/>
      <c r="U110" s="319"/>
      <c r="V110" s="319"/>
      <c r="W110" s="321">
        <v>44739</v>
      </c>
      <c r="X110" s="324">
        <v>41897944</v>
      </c>
      <c r="Y110" s="324" t="s">
        <v>602</v>
      </c>
      <c r="Z110" s="327"/>
      <c r="AA110" s="327"/>
      <c r="AB110" s="322">
        <v>68</v>
      </c>
      <c r="AG110" s="312" t="s">
        <v>2254</v>
      </c>
    </row>
    <row r="111" spans="1:33" x14ac:dyDescent="0.25">
      <c r="A111" s="429">
        <v>105</v>
      </c>
      <c r="B111" s="320" t="s">
        <v>764</v>
      </c>
      <c r="C111" s="321">
        <v>44581</v>
      </c>
      <c r="D111" s="319" t="s">
        <v>753</v>
      </c>
      <c r="E111" s="319" t="s">
        <v>685</v>
      </c>
      <c r="F111" s="337" t="s">
        <v>1955</v>
      </c>
      <c r="G111" s="319" t="s">
        <v>688</v>
      </c>
      <c r="H111" s="323" t="s">
        <v>2187</v>
      </c>
      <c r="I111" s="328">
        <v>2000270939</v>
      </c>
      <c r="J111" s="325">
        <v>11172.5</v>
      </c>
      <c r="N111" s="321">
        <v>44601</v>
      </c>
      <c r="O111" s="319">
        <v>144</v>
      </c>
      <c r="P111" s="310">
        <v>130</v>
      </c>
      <c r="Q111" s="319">
        <v>9</v>
      </c>
      <c r="R111" s="321">
        <v>44455</v>
      </c>
      <c r="S111" s="327">
        <v>45001</v>
      </c>
      <c r="T111" s="319"/>
      <c r="U111" s="319"/>
      <c r="V111" s="319"/>
      <c r="W111" s="321">
        <v>44719</v>
      </c>
      <c r="X111" s="324">
        <v>20002709</v>
      </c>
      <c r="Y111" s="324" t="s">
        <v>1108</v>
      </c>
      <c r="Z111" s="327"/>
      <c r="AA111" s="327"/>
      <c r="AB111" s="322">
        <v>68</v>
      </c>
      <c r="AG111" s="312" t="s">
        <v>2254</v>
      </c>
    </row>
    <row r="112" spans="1:33" x14ac:dyDescent="0.25">
      <c r="A112" s="429">
        <v>106</v>
      </c>
      <c r="B112" s="320" t="s">
        <v>1185</v>
      </c>
      <c r="C112" s="321">
        <v>44507</v>
      </c>
      <c r="D112" s="319" t="s">
        <v>1179</v>
      </c>
      <c r="E112" s="319" t="s">
        <v>746</v>
      </c>
      <c r="F112" s="337" t="s">
        <v>1953</v>
      </c>
      <c r="G112" s="319" t="s">
        <v>747</v>
      </c>
      <c r="H112" s="337" t="s">
        <v>2144</v>
      </c>
      <c r="I112" s="328">
        <v>6873006319</v>
      </c>
      <c r="J112" s="325">
        <v>29299.19</v>
      </c>
      <c r="N112" s="321">
        <v>44553</v>
      </c>
      <c r="O112" s="319">
        <v>300</v>
      </c>
      <c r="P112" s="310">
        <v>297</v>
      </c>
      <c r="Q112" s="319" t="s">
        <v>371</v>
      </c>
      <c r="R112" s="321">
        <v>44491</v>
      </c>
      <c r="S112" s="327">
        <v>44957</v>
      </c>
      <c r="T112" s="319"/>
      <c r="U112" s="319"/>
      <c r="V112" s="319"/>
      <c r="W112" s="321">
        <v>44785</v>
      </c>
      <c r="X112" s="324">
        <v>58289835</v>
      </c>
      <c r="Y112" s="324" t="s">
        <v>654</v>
      </c>
      <c r="Z112" s="327"/>
      <c r="AA112" s="327" t="s">
        <v>669</v>
      </c>
      <c r="AB112" s="322">
        <v>89</v>
      </c>
      <c r="AG112" s="312" t="s">
        <v>2254</v>
      </c>
    </row>
    <row r="113" spans="1:33" x14ac:dyDescent="0.25">
      <c r="A113" s="429">
        <v>107</v>
      </c>
      <c r="B113" s="320" t="s">
        <v>1487</v>
      </c>
      <c r="C113" s="321">
        <v>44375</v>
      </c>
      <c r="D113" s="319" t="s">
        <v>753</v>
      </c>
      <c r="E113" s="319" t="s">
        <v>705</v>
      </c>
      <c r="F113" s="337" t="s">
        <v>2097</v>
      </c>
      <c r="G113" s="319" t="s">
        <v>819</v>
      </c>
      <c r="H113" s="337" t="s">
        <v>2143</v>
      </c>
      <c r="I113" s="328">
        <v>2785752420</v>
      </c>
      <c r="J113" s="325">
        <v>12354.79</v>
      </c>
      <c r="N113" s="321">
        <v>44389</v>
      </c>
      <c r="O113" s="319">
        <v>143</v>
      </c>
      <c r="P113" s="310">
        <v>143</v>
      </c>
      <c r="Q113" s="319">
        <v>9</v>
      </c>
      <c r="R113" s="321">
        <v>44348</v>
      </c>
      <c r="S113" s="327">
        <v>44635</v>
      </c>
      <c r="T113" s="327">
        <v>44727</v>
      </c>
      <c r="U113" s="327">
        <v>44819</v>
      </c>
      <c r="V113" s="327">
        <v>44910</v>
      </c>
      <c r="W113" s="327">
        <v>44767</v>
      </c>
      <c r="X113" s="324">
        <v>27705024</v>
      </c>
      <c r="Y113" s="324" t="s">
        <v>655</v>
      </c>
      <c r="Z113" s="327"/>
      <c r="AA113" s="327" t="s">
        <v>669</v>
      </c>
      <c r="AB113" s="322">
        <v>87</v>
      </c>
      <c r="AG113" s="312" t="s">
        <v>2254</v>
      </c>
    </row>
    <row r="114" spans="1:33" x14ac:dyDescent="0.25">
      <c r="A114" s="429">
        <v>108</v>
      </c>
      <c r="B114" s="320" t="s">
        <v>803</v>
      </c>
      <c r="C114" s="321">
        <v>44391</v>
      </c>
      <c r="D114" s="319" t="s">
        <v>1179</v>
      </c>
      <c r="E114" s="319" t="s">
        <v>727</v>
      </c>
      <c r="F114" s="337" t="s">
        <v>2109</v>
      </c>
      <c r="G114" s="319" t="s">
        <v>728</v>
      </c>
      <c r="H114" s="337" t="s">
        <v>2168</v>
      </c>
      <c r="I114" s="328">
        <v>3516075103</v>
      </c>
      <c r="J114" s="325">
        <v>14302.4</v>
      </c>
      <c r="N114" s="321">
        <v>44420</v>
      </c>
      <c r="O114" s="319">
        <v>208</v>
      </c>
      <c r="P114" s="310">
        <v>210</v>
      </c>
      <c r="Q114" s="319">
        <v>7</v>
      </c>
      <c r="R114" s="321">
        <v>44175</v>
      </c>
      <c r="S114" s="327">
        <v>44691</v>
      </c>
      <c r="T114" s="327">
        <v>44783</v>
      </c>
      <c r="U114" s="327">
        <v>44875</v>
      </c>
      <c r="V114" s="327"/>
      <c r="W114" s="327">
        <v>44873</v>
      </c>
      <c r="X114" s="324">
        <v>30669709</v>
      </c>
      <c r="Y114" s="324" t="s">
        <v>632</v>
      </c>
      <c r="Z114" s="327"/>
      <c r="AA114" s="327"/>
      <c r="AB114" s="322">
        <v>66</v>
      </c>
      <c r="AG114" s="312" t="s">
        <v>2254</v>
      </c>
    </row>
    <row r="115" spans="1:33" x14ac:dyDescent="0.25">
      <c r="A115" s="429">
        <v>109</v>
      </c>
      <c r="B115" s="320" t="s">
        <v>1186</v>
      </c>
      <c r="C115" s="321">
        <v>44481</v>
      </c>
      <c r="D115" s="319" t="s">
        <v>1179</v>
      </c>
      <c r="E115" s="319" t="s">
        <v>695</v>
      </c>
      <c r="F115" s="334">
        <v>960340000376</v>
      </c>
      <c r="G115" s="319" t="s">
        <v>824</v>
      </c>
      <c r="H115" s="337" t="s">
        <v>2166</v>
      </c>
      <c r="I115" s="328">
        <v>2289816924</v>
      </c>
      <c r="J115" s="325">
        <v>14271</v>
      </c>
      <c r="N115" s="321">
        <v>44495</v>
      </c>
      <c r="O115" s="319">
        <v>119</v>
      </c>
      <c r="P115" s="310">
        <v>119</v>
      </c>
      <c r="Q115" s="319" t="s">
        <v>310</v>
      </c>
      <c r="R115" s="321">
        <v>44287</v>
      </c>
      <c r="S115" s="327">
        <v>44775</v>
      </c>
      <c r="T115" s="327">
        <v>44867</v>
      </c>
      <c r="U115" s="327"/>
      <c r="V115" s="327"/>
      <c r="W115" s="327">
        <v>44852</v>
      </c>
      <c r="X115" s="324">
        <v>48449335</v>
      </c>
      <c r="Y115" s="324" t="s">
        <v>645</v>
      </c>
      <c r="Z115" s="324">
        <v>3279180677</v>
      </c>
      <c r="AA115" s="327" t="s">
        <v>607</v>
      </c>
      <c r="AB115" s="322">
        <v>74</v>
      </c>
      <c r="AG115" s="312" t="s">
        <v>2254</v>
      </c>
    </row>
    <row r="116" spans="1:33" x14ac:dyDescent="0.25">
      <c r="A116" s="429"/>
      <c r="B116" s="346" t="s">
        <v>2242</v>
      </c>
      <c r="C116" s="321">
        <v>44481</v>
      </c>
      <c r="D116" s="319" t="s">
        <v>1179</v>
      </c>
      <c r="E116" s="322" t="s">
        <v>695</v>
      </c>
      <c r="F116" s="334">
        <v>960340000376</v>
      </c>
      <c r="G116" s="322" t="s">
        <v>824</v>
      </c>
      <c r="H116" s="337" t="s">
        <v>2166</v>
      </c>
      <c r="I116" s="328">
        <v>3110833000</v>
      </c>
      <c r="J116" s="325">
        <v>15260</v>
      </c>
      <c r="N116" s="321">
        <v>44495</v>
      </c>
      <c r="O116" s="324">
        <v>112</v>
      </c>
      <c r="P116" s="324">
        <v>112</v>
      </c>
      <c r="Q116" s="319"/>
      <c r="R116" s="321">
        <v>44287</v>
      </c>
      <c r="S116" s="327">
        <v>44866</v>
      </c>
      <c r="T116" s="321"/>
      <c r="U116" s="319"/>
      <c r="V116" s="319"/>
      <c r="W116" s="321">
        <v>44817</v>
      </c>
      <c r="X116" s="324"/>
      <c r="Y116" s="321"/>
      <c r="Z116" s="321"/>
      <c r="AA116" s="321"/>
      <c r="AB116" s="322">
        <v>74</v>
      </c>
      <c r="AG116" s="312" t="s">
        <v>2254</v>
      </c>
    </row>
    <row r="117" spans="1:33" x14ac:dyDescent="0.25">
      <c r="A117" s="429">
        <v>110</v>
      </c>
      <c r="B117" s="320" t="s">
        <v>805</v>
      </c>
      <c r="C117" s="321">
        <v>44418</v>
      </c>
      <c r="D117" s="319" t="s">
        <v>1179</v>
      </c>
      <c r="E117" s="319" t="s">
        <v>948</v>
      </c>
      <c r="F117" s="337" t="s">
        <v>2103</v>
      </c>
      <c r="G117" s="319" t="s">
        <v>820</v>
      </c>
      <c r="H117" s="337" t="s">
        <v>2125</v>
      </c>
      <c r="I117" s="328">
        <v>6105003456</v>
      </c>
      <c r="J117" s="325">
        <v>34924.6</v>
      </c>
      <c r="N117" s="321">
        <v>44441</v>
      </c>
      <c r="O117" s="319">
        <v>381</v>
      </c>
      <c r="P117" s="310">
        <v>381</v>
      </c>
      <c r="Q117" s="319" t="s">
        <v>274</v>
      </c>
      <c r="R117" s="321">
        <v>44389</v>
      </c>
      <c r="S117" s="327">
        <v>45058</v>
      </c>
      <c r="T117" s="327"/>
      <c r="U117" s="327"/>
      <c r="V117" s="327"/>
      <c r="W117" s="327">
        <v>44873</v>
      </c>
      <c r="X117" s="324">
        <v>52191380</v>
      </c>
      <c r="Y117" s="324" t="s">
        <v>635</v>
      </c>
      <c r="Z117" s="324"/>
      <c r="AA117" s="327" t="s">
        <v>607</v>
      </c>
      <c r="AB117" s="322">
        <v>80</v>
      </c>
      <c r="AG117" s="312" t="s">
        <v>2254</v>
      </c>
    </row>
    <row r="118" spans="1:33" x14ac:dyDescent="0.25">
      <c r="A118" s="429">
        <v>111</v>
      </c>
      <c r="B118" s="320" t="s">
        <v>815</v>
      </c>
      <c r="C118" s="321">
        <v>44448</v>
      </c>
      <c r="D118" s="319" t="s">
        <v>1179</v>
      </c>
      <c r="E118" s="319" t="s">
        <v>686</v>
      </c>
      <c r="F118" s="337" t="s">
        <v>2110</v>
      </c>
      <c r="G118" s="319" t="s">
        <v>733</v>
      </c>
      <c r="H118" s="337" t="s">
        <v>2197</v>
      </c>
      <c r="I118" s="328">
        <v>6273402523</v>
      </c>
      <c r="J118" s="325">
        <v>30912.47</v>
      </c>
      <c r="N118" s="321">
        <v>44469</v>
      </c>
      <c r="O118" s="319">
        <v>374</v>
      </c>
      <c r="P118" s="310">
        <v>374</v>
      </c>
      <c r="Q118" s="319">
        <v>18</v>
      </c>
      <c r="R118" s="321">
        <v>44376</v>
      </c>
      <c r="S118" s="327">
        <v>44926</v>
      </c>
      <c r="T118" s="327"/>
      <c r="U118" s="327"/>
      <c r="V118" s="327"/>
      <c r="W118" s="327">
        <v>44851</v>
      </c>
      <c r="X118" s="324">
        <v>61196296</v>
      </c>
      <c r="Y118" s="324" t="s">
        <v>642</v>
      </c>
      <c r="Z118" s="324"/>
      <c r="AA118" s="327" t="s">
        <v>598</v>
      </c>
      <c r="AB118" s="322">
        <v>82</v>
      </c>
      <c r="AG118" s="312" t="s">
        <v>2254</v>
      </c>
    </row>
    <row r="119" spans="1:33" x14ac:dyDescent="0.25">
      <c r="A119" s="429">
        <v>112</v>
      </c>
      <c r="B119" s="320" t="s">
        <v>893</v>
      </c>
      <c r="C119" s="321">
        <v>44015</v>
      </c>
      <c r="D119" s="319" t="s">
        <v>176</v>
      </c>
      <c r="E119" s="319" t="s">
        <v>740</v>
      </c>
      <c r="F119" s="337" t="s">
        <v>1644</v>
      </c>
      <c r="G119" s="319" t="s">
        <v>723</v>
      </c>
      <c r="H119" s="337" t="s">
        <v>2148</v>
      </c>
      <c r="I119" s="328">
        <v>4348889709</v>
      </c>
      <c r="J119" s="325">
        <v>33739.339999999997</v>
      </c>
      <c r="N119" s="321">
        <v>44039</v>
      </c>
      <c r="O119" s="319">
        <v>352</v>
      </c>
      <c r="P119" s="310">
        <v>352</v>
      </c>
      <c r="Q119" s="319">
        <v>9</v>
      </c>
      <c r="R119" s="321">
        <v>43589</v>
      </c>
      <c r="S119" s="327">
        <v>44838</v>
      </c>
      <c r="T119" s="327">
        <v>44930</v>
      </c>
      <c r="U119" s="327"/>
      <c r="V119" s="327"/>
      <c r="W119" s="327">
        <v>44869</v>
      </c>
      <c r="X119" s="324">
        <v>78759175</v>
      </c>
      <c r="Y119" s="324" t="s">
        <v>678</v>
      </c>
      <c r="Z119" s="324"/>
      <c r="AA119" s="327" t="s">
        <v>599</v>
      </c>
      <c r="AB119" s="322">
        <v>70</v>
      </c>
      <c r="AG119" s="312" t="s">
        <v>2254</v>
      </c>
    </row>
    <row r="120" spans="1:33" x14ac:dyDescent="0.25">
      <c r="A120" s="429">
        <v>113</v>
      </c>
      <c r="B120" s="320" t="s">
        <v>802</v>
      </c>
      <c r="C120" s="321">
        <v>44378</v>
      </c>
      <c r="D120" s="319" t="s">
        <v>1179</v>
      </c>
      <c r="E120" s="322" t="s">
        <v>718</v>
      </c>
      <c r="F120" s="323" t="s">
        <v>1621</v>
      </c>
      <c r="G120" s="319" t="s">
        <v>719</v>
      </c>
      <c r="H120" s="337" t="s">
        <v>2211</v>
      </c>
      <c r="I120" s="328">
        <v>9387694698</v>
      </c>
      <c r="J120" s="325">
        <v>35764.5</v>
      </c>
      <c r="N120" s="321">
        <v>44390</v>
      </c>
      <c r="O120" s="319">
        <v>366</v>
      </c>
      <c r="P120" s="310">
        <v>366</v>
      </c>
      <c r="Q120" s="319" t="s">
        <v>252</v>
      </c>
      <c r="R120" s="321">
        <v>44331</v>
      </c>
      <c r="S120" s="327">
        <v>44787</v>
      </c>
      <c r="T120" s="327">
        <v>44879</v>
      </c>
      <c r="U120" s="327"/>
      <c r="V120" s="327"/>
      <c r="W120" s="327">
        <v>44865</v>
      </c>
      <c r="X120" s="324">
        <v>93100997</v>
      </c>
      <c r="Y120" s="324" t="s">
        <v>1095</v>
      </c>
      <c r="Z120" s="324">
        <v>6719960698</v>
      </c>
      <c r="AA120" s="327" t="s">
        <v>596</v>
      </c>
      <c r="AB120" s="322">
        <v>73</v>
      </c>
      <c r="AG120" s="312" t="s">
        <v>2254</v>
      </c>
    </row>
    <row r="121" spans="1:33" x14ac:dyDescent="0.25">
      <c r="A121" s="429">
        <v>114</v>
      </c>
      <c r="B121" s="320" t="s">
        <v>1096</v>
      </c>
      <c r="C121" s="321">
        <v>44391</v>
      </c>
      <c r="D121" s="319" t="s">
        <v>212</v>
      </c>
      <c r="E121" s="319" t="s">
        <v>828</v>
      </c>
      <c r="F121" s="337" t="s">
        <v>2112</v>
      </c>
      <c r="G121" s="319" t="s">
        <v>2170</v>
      </c>
      <c r="H121" s="337" t="s">
        <v>2171</v>
      </c>
      <c r="I121" s="328">
        <v>3779124848</v>
      </c>
      <c r="J121" s="325">
        <v>24702.9</v>
      </c>
      <c r="N121" s="321">
        <v>44419</v>
      </c>
      <c r="O121" s="319">
        <v>287</v>
      </c>
      <c r="P121" s="310">
        <v>287</v>
      </c>
      <c r="Q121" s="319">
        <v>9</v>
      </c>
      <c r="R121" s="321">
        <v>44219</v>
      </c>
      <c r="S121" s="327">
        <v>44795</v>
      </c>
      <c r="T121" s="327">
        <v>44887</v>
      </c>
      <c r="U121" s="327"/>
      <c r="V121" s="327"/>
      <c r="W121" s="327">
        <v>44874</v>
      </c>
      <c r="X121" s="324">
        <v>35914325</v>
      </c>
      <c r="Y121" s="324" t="s">
        <v>633</v>
      </c>
      <c r="Z121" s="324"/>
      <c r="AA121" s="327" t="s">
        <v>599</v>
      </c>
      <c r="AB121" s="322">
        <v>72</v>
      </c>
      <c r="AG121" s="312" t="s">
        <v>2254</v>
      </c>
    </row>
    <row r="122" spans="1:33" x14ac:dyDescent="0.25">
      <c r="A122" s="429">
        <v>115</v>
      </c>
      <c r="B122" s="320" t="s">
        <v>795</v>
      </c>
      <c r="C122" s="321">
        <v>44208</v>
      </c>
      <c r="D122" s="319" t="s">
        <v>1179</v>
      </c>
      <c r="E122" s="319" t="s">
        <v>713</v>
      </c>
      <c r="F122" s="337" t="s">
        <v>1748</v>
      </c>
      <c r="G122" s="319" t="s">
        <v>714</v>
      </c>
      <c r="H122" s="337" t="s">
        <v>2121</v>
      </c>
      <c r="I122" s="328">
        <v>2492600422</v>
      </c>
      <c r="J122" s="325">
        <v>15760.1</v>
      </c>
      <c r="N122" s="321">
        <v>44230</v>
      </c>
      <c r="O122" s="319">
        <v>167</v>
      </c>
      <c r="P122" s="310">
        <v>160</v>
      </c>
      <c r="Q122" s="319">
        <v>9</v>
      </c>
      <c r="R122" s="321">
        <v>44166</v>
      </c>
      <c r="S122" s="327">
        <v>44712</v>
      </c>
      <c r="T122" s="327">
        <v>44804</v>
      </c>
      <c r="U122" s="327" t="s">
        <v>1085</v>
      </c>
      <c r="V122" s="327">
        <v>44985</v>
      </c>
      <c r="W122" s="327">
        <v>44883</v>
      </c>
      <c r="X122" s="324" t="s">
        <v>614</v>
      </c>
      <c r="Y122" s="324" t="s">
        <v>615</v>
      </c>
      <c r="Z122" s="324"/>
      <c r="AA122" s="327" t="s">
        <v>594</v>
      </c>
      <c r="AB122" s="322">
        <v>79</v>
      </c>
      <c r="AG122" s="312" t="s">
        <v>2254</v>
      </c>
    </row>
    <row r="123" spans="1:33" x14ac:dyDescent="0.25">
      <c r="A123" s="429">
        <v>116</v>
      </c>
      <c r="B123" s="320" t="s">
        <v>1088</v>
      </c>
      <c r="C123" s="321">
        <v>44329</v>
      </c>
      <c r="D123" s="319" t="s">
        <v>1179</v>
      </c>
      <c r="E123" s="319" t="s">
        <v>716</v>
      </c>
      <c r="F123" s="334">
        <v>960340000376</v>
      </c>
      <c r="G123" s="319" t="s">
        <v>1756</v>
      </c>
      <c r="H123" s="337" t="s">
        <v>2124</v>
      </c>
      <c r="I123" s="328">
        <v>2467040747</v>
      </c>
      <c r="J123" s="325">
        <v>20246.28</v>
      </c>
      <c r="N123" s="321">
        <v>44356</v>
      </c>
      <c r="O123" s="319">
        <v>166</v>
      </c>
      <c r="P123" s="310">
        <v>166</v>
      </c>
      <c r="Q123" s="319">
        <v>9</v>
      </c>
      <c r="R123" s="321">
        <v>44239</v>
      </c>
      <c r="S123" s="327">
        <v>44938</v>
      </c>
      <c r="T123" s="327"/>
      <c r="U123" s="327"/>
      <c r="V123" s="327"/>
      <c r="W123" s="327">
        <v>44833</v>
      </c>
      <c r="X123" s="324">
        <v>22639727</v>
      </c>
      <c r="Y123" s="324" t="s">
        <v>1089</v>
      </c>
      <c r="Z123" s="324">
        <v>1136038422</v>
      </c>
      <c r="AA123" s="327" t="s">
        <v>669</v>
      </c>
      <c r="AB123" s="322">
        <v>84</v>
      </c>
      <c r="AG123" s="312" t="s">
        <v>2254</v>
      </c>
    </row>
    <row r="124" spans="1:33" x14ac:dyDescent="0.25">
      <c r="A124" s="429">
        <v>117</v>
      </c>
      <c r="B124" s="320" t="s">
        <v>1159</v>
      </c>
      <c r="C124" s="321">
        <v>44434</v>
      </c>
      <c r="D124" s="319" t="s">
        <v>1179</v>
      </c>
      <c r="E124" s="322" t="s">
        <v>718</v>
      </c>
      <c r="F124" s="323" t="s">
        <v>1621</v>
      </c>
      <c r="G124" s="319" t="s">
        <v>732</v>
      </c>
      <c r="H124" s="323" t="s">
        <v>2190</v>
      </c>
      <c r="I124" s="328">
        <v>4503146562</v>
      </c>
      <c r="J124" s="325">
        <v>23857.96</v>
      </c>
      <c r="N124" s="321">
        <v>44453</v>
      </c>
      <c r="O124" s="319">
        <v>287</v>
      </c>
      <c r="P124" s="310">
        <v>287</v>
      </c>
      <c r="Q124" s="319">
        <v>9.1199999999999992</v>
      </c>
      <c r="R124" s="321">
        <v>44337</v>
      </c>
      <c r="S124" s="327">
        <v>44825</v>
      </c>
      <c r="T124" s="327">
        <v>44916</v>
      </c>
      <c r="U124" s="327"/>
      <c r="V124" s="327"/>
      <c r="W124" s="327">
        <v>44881</v>
      </c>
      <c r="X124" s="324">
        <v>44263909</v>
      </c>
      <c r="Y124" s="324" t="s">
        <v>639</v>
      </c>
      <c r="Z124" s="324">
        <v>3600544117</v>
      </c>
      <c r="AA124" s="324" t="s">
        <v>599</v>
      </c>
      <c r="AB124" s="322">
        <v>73</v>
      </c>
      <c r="AG124" s="312" t="s">
        <v>2254</v>
      </c>
    </row>
    <row r="125" spans="1:33" x14ac:dyDescent="0.25">
      <c r="A125" s="430"/>
      <c r="B125" s="346" t="s">
        <v>2243</v>
      </c>
      <c r="C125" s="321">
        <v>44581</v>
      </c>
      <c r="D125" s="319" t="s">
        <v>1179</v>
      </c>
      <c r="E125" s="319" t="s">
        <v>791</v>
      </c>
      <c r="F125" s="337" t="s">
        <v>1621</v>
      </c>
      <c r="G125" s="319" t="s">
        <v>732</v>
      </c>
      <c r="H125" s="323" t="s">
        <v>2190</v>
      </c>
      <c r="I125" s="328">
        <v>173419099</v>
      </c>
      <c r="J125" s="325">
        <v>0</v>
      </c>
      <c r="N125" s="321">
        <v>44588</v>
      </c>
      <c r="O125" s="319">
        <v>0</v>
      </c>
      <c r="P125" s="310">
        <v>0</v>
      </c>
      <c r="Q125" s="319"/>
      <c r="R125" s="321">
        <v>44516</v>
      </c>
      <c r="S125" s="327">
        <v>44825</v>
      </c>
      <c r="T125" s="327">
        <v>44916</v>
      </c>
      <c r="U125" s="327"/>
      <c r="V125" s="327"/>
      <c r="W125" s="327">
        <v>44881</v>
      </c>
      <c r="X125" s="324">
        <v>1734191</v>
      </c>
      <c r="Y125" s="324" t="s">
        <v>1115</v>
      </c>
      <c r="Z125" s="324"/>
      <c r="AA125" s="327"/>
      <c r="AB125" s="322">
        <v>73</v>
      </c>
      <c r="AG125" s="312" t="s">
        <v>2254</v>
      </c>
    </row>
    <row r="126" spans="1:33" x14ac:dyDescent="0.25">
      <c r="A126" s="429">
        <v>118</v>
      </c>
      <c r="B126" s="320" t="s">
        <v>1093</v>
      </c>
      <c r="C126" s="321">
        <v>44351</v>
      </c>
      <c r="D126" s="319" t="s">
        <v>753</v>
      </c>
      <c r="E126" s="319" t="s">
        <v>721</v>
      </c>
      <c r="F126" s="337" t="s">
        <v>2098</v>
      </c>
      <c r="G126" s="319" t="s">
        <v>2160</v>
      </c>
      <c r="H126" s="337" t="s">
        <v>2159</v>
      </c>
      <c r="I126" s="328">
        <v>5242062903</v>
      </c>
      <c r="J126" s="325">
        <v>22319</v>
      </c>
      <c r="N126" s="321">
        <v>44364</v>
      </c>
      <c r="O126" s="319">
        <v>292</v>
      </c>
      <c r="P126" s="310">
        <v>292</v>
      </c>
      <c r="Q126" s="319" t="s">
        <v>1219</v>
      </c>
      <c r="R126" s="321">
        <v>44287</v>
      </c>
      <c r="S126" s="327">
        <v>44469</v>
      </c>
      <c r="T126" s="327">
        <v>44925</v>
      </c>
      <c r="U126" s="327"/>
      <c r="V126" s="327"/>
      <c r="W126" s="327">
        <v>44868</v>
      </c>
      <c r="X126" s="324">
        <v>51946728</v>
      </c>
      <c r="Y126" s="324" t="s">
        <v>628</v>
      </c>
      <c r="Z126" s="324">
        <v>3075654518</v>
      </c>
      <c r="AA126" s="327" t="s">
        <v>679</v>
      </c>
      <c r="AB126" s="322">
        <v>92</v>
      </c>
      <c r="AG126" s="312" t="s">
        <v>2254</v>
      </c>
    </row>
    <row r="127" spans="1:33" x14ac:dyDescent="0.25">
      <c r="A127" s="429">
        <v>119</v>
      </c>
      <c r="B127" s="320" t="s">
        <v>1104</v>
      </c>
      <c r="C127" s="321">
        <v>44502</v>
      </c>
      <c r="D127" s="319" t="s">
        <v>1179</v>
      </c>
      <c r="E127" s="319" t="s">
        <v>716</v>
      </c>
      <c r="F127" s="334">
        <v>960340000376</v>
      </c>
      <c r="G127" s="319" t="s">
        <v>739</v>
      </c>
      <c r="H127" s="337" t="s">
        <v>2177</v>
      </c>
      <c r="I127" s="328">
        <v>2657879549</v>
      </c>
      <c r="J127" s="325">
        <v>13835.8</v>
      </c>
      <c r="N127" s="321">
        <v>44519</v>
      </c>
      <c r="O127" s="319">
        <v>184</v>
      </c>
      <c r="P127" s="310">
        <v>184</v>
      </c>
      <c r="Q127" s="319">
        <v>9</v>
      </c>
      <c r="R127" s="321">
        <v>44414</v>
      </c>
      <c r="S127" s="327">
        <v>44932</v>
      </c>
      <c r="T127" s="327"/>
      <c r="U127" s="327"/>
      <c r="V127" s="327"/>
      <c r="W127" s="327">
        <v>44860</v>
      </c>
      <c r="X127" s="324">
        <v>26330712</v>
      </c>
      <c r="Y127" s="324" t="s">
        <v>651</v>
      </c>
      <c r="Z127" s="324">
        <v>1904267944</v>
      </c>
      <c r="AA127" s="327" t="s">
        <v>607</v>
      </c>
      <c r="AB127" s="322">
        <v>74</v>
      </c>
      <c r="AG127" s="312" t="s">
        <v>2254</v>
      </c>
    </row>
    <row r="128" spans="1:33" x14ac:dyDescent="0.25">
      <c r="A128" s="429">
        <v>120</v>
      </c>
      <c r="B128" s="320" t="s">
        <v>763</v>
      </c>
      <c r="C128" s="321">
        <v>44581</v>
      </c>
      <c r="D128" s="319" t="s">
        <v>1179</v>
      </c>
      <c r="E128" s="319" t="s">
        <v>686</v>
      </c>
      <c r="F128" s="337" t="s">
        <v>2110</v>
      </c>
      <c r="G128" s="319" t="s">
        <v>687</v>
      </c>
      <c r="H128" s="337" t="s">
        <v>2178</v>
      </c>
      <c r="I128" s="328">
        <v>7890743167</v>
      </c>
      <c r="J128" s="325">
        <v>34762</v>
      </c>
      <c r="N128" s="321">
        <v>44593</v>
      </c>
      <c r="O128" s="319">
        <v>430</v>
      </c>
      <c r="P128" s="310">
        <v>430</v>
      </c>
      <c r="Q128" s="319">
        <v>18</v>
      </c>
      <c r="R128" s="321">
        <v>44512</v>
      </c>
      <c r="S128" s="327">
        <v>45058</v>
      </c>
      <c r="T128" s="327"/>
      <c r="U128" s="327"/>
      <c r="V128" s="327"/>
      <c r="W128" s="327">
        <v>44837</v>
      </c>
      <c r="X128" s="324">
        <v>63075630</v>
      </c>
      <c r="Y128" s="324" t="s">
        <v>603</v>
      </c>
      <c r="Z128" s="324"/>
      <c r="AA128" s="327" t="s">
        <v>598</v>
      </c>
      <c r="AB128" s="322">
        <v>82</v>
      </c>
      <c r="AG128" s="312" t="s">
        <v>2254</v>
      </c>
    </row>
    <row r="129" spans="1:33" x14ac:dyDescent="0.25">
      <c r="A129" s="429">
        <v>121</v>
      </c>
      <c r="B129" s="320" t="s">
        <v>798</v>
      </c>
      <c r="C129" s="321">
        <v>44336</v>
      </c>
      <c r="D129" s="319" t="s">
        <v>1179</v>
      </c>
      <c r="E129" s="322" t="s">
        <v>718</v>
      </c>
      <c r="F129" s="323" t="s">
        <v>1621</v>
      </c>
      <c r="G129" s="319" t="s">
        <v>719</v>
      </c>
      <c r="H129" s="337" t="s">
        <v>2211</v>
      </c>
      <c r="I129" s="328">
        <v>7638011068</v>
      </c>
      <c r="J129" s="325">
        <v>38552.29</v>
      </c>
      <c r="N129" s="321">
        <v>44344</v>
      </c>
      <c r="O129" s="319">
        <v>318</v>
      </c>
      <c r="P129" s="310">
        <v>318</v>
      </c>
      <c r="Q129" s="319">
        <v>9</v>
      </c>
      <c r="R129" s="321">
        <v>44270</v>
      </c>
      <c r="S129" s="327">
        <v>44972</v>
      </c>
      <c r="T129" s="327"/>
      <c r="U129" s="327"/>
      <c r="V129" s="327"/>
      <c r="W129" s="327">
        <v>44887</v>
      </c>
      <c r="X129" s="324">
        <v>75230080</v>
      </c>
      <c r="Y129" s="324" t="s">
        <v>1092</v>
      </c>
      <c r="Z129" s="324">
        <v>6189872863</v>
      </c>
      <c r="AA129" s="327" t="s">
        <v>1312</v>
      </c>
      <c r="AB129" s="322">
        <v>81</v>
      </c>
      <c r="AG129" s="312" t="s">
        <v>2254</v>
      </c>
    </row>
    <row r="130" spans="1:33" x14ac:dyDescent="0.25">
      <c r="A130" s="430"/>
      <c r="B130" s="346" t="s">
        <v>2244</v>
      </c>
      <c r="C130" s="321">
        <v>44523</v>
      </c>
      <c r="D130" s="319" t="s">
        <v>1179</v>
      </c>
      <c r="E130" s="319" t="s">
        <v>791</v>
      </c>
      <c r="F130" s="337" t="s">
        <v>1621</v>
      </c>
      <c r="G130" s="319" t="s">
        <v>719</v>
      </c>
      <c r="H130" s="337" t="s">
        <v>2211</v>
      </c>
      <c r="I130" s="328">
        <v>674905764</v>
      </c>
      <c r="J130" s="325">
        <v>0</v>
      </c>
      <c r="N130" s="321">
        <v>44532</v>
      </c>
      <c r="O130" s="319">
        <v>0</v>
      </c>
      <c r="P130" s="310">
        <v>0</v>
      </c>
      <c r="Q130" s="319">
        <v>0</v>
      </c>
      <c r="R130" s="321">
        <v>44459</v>
      </c>
      <c r="S130" s="327">
        <v>44972</v>
      </c>
      <c r="T130" s="327"/>
      <c r="U130" s="327"/>
      <c r="V130" s="327"/>
      <c r="W130" s="327">
        <v>44887</v>
      </c>
      <c r="X130" s="324">
        <v>6749058</v>
      </c>
      <c r="Y130" s="324" t="s">
        <v>1107</v>
      </c>
      <c r="Z130" s="324"/>
      <c r="AA130" s="327" t="s">
        <v>1312</v>
      </c>
      <c r="AB130" s="322">
        <v>81</v>
      </c>
      <c r="AG130" s="312" t="s">
        <v>2254</v>
      </c>
    </row>
    <row r="131" spans="1:33" x14ac:dyDescent="0.25">
      <c r="A131" s="429">
        <v>122</v>
      </c>
      <c r="B131" s="320" t="s">
        <v>1090</v>
      </c>
      <c r="C131" s="321">
        <v>44341</v>
      </c>
      <c r="D131" s="319" t="s">
        <v>1179</v>
      </c>
      <c r="E131" s="319" t="s">
        <v>716</v>
      </c>
      <c r="F131" s="334">
        <v>960340000376</v>
      </c>
      <c r="G131" s="319" t="s">
        <v>717</v>
      </c>
      <c r="H131" s="337" t="s">
        <v>1967</v>
      </c>
      <c r="I131" s="328">
        <v>4203952682</v>
      </c>
      <c r="J131" s="325">
        <v>27491.57</v>
      </c>
      <c r="N131" s="321">
        <v>44358</v>
      </c>
      <c r="O131" s="319">
        <v>280</v>
      </c>
      <c r="P131" s="310">
        <v>280</v>
      </c>
      <c r="Q131" s="319">
        <v>21</v>
      </c>
      <c r="R131" s="321">
        <v>44054</v>
      </c>
      <c r="S131" s="327">
        <v>44937</v>
      </c>
      <c r="T131" s="327"/>
      <c r="U131" s="327"/>
      <c r="V131" s="327"/>
      <c r="W131" s="327">
        <v>44918</v>
      </c>
      <c r="X131" s="324">
        <v>41086170</v>
      </c>
      <c r="Y131" s="324" t="s">
        <v>1091</v>
      </c>
      <c r="Z131" s="324">
        <v>2552875850</v>
      </c>
      <c r="AA131" s="327" t="s">
        <v>1312</v>
      </c>
      <c r="AB131" s="322">
        <v>84</v>
      </c>
      <c r="AG131" s="312" t="s">
        <v>2254</v>
      </c>
    </row>
    <row r="132" spans="1:33" x14ac:dyDescent="0.25">
      <c r="A132" s="429"/>
      <c r="B132" s="346" t="s">
        <v>1720</v>
      </c>
      <c r="C132" s="321">
        <v>44796</v>
      </c>
      <c r="D132" s="319" t="s">
        <v>452</v>
      </c>
      <c r="E132" s="319" t="s">
        <v>793</v>
      </c>
      <c r="F132" s="337" t="s">
        <v>1999</v>
      </c>
      <c r="G132" s="319" t="s">
        <v>790</v>
      </c>
      <c r="H132" s="337" t="s">
        <v>2192</v>
      </c>
      <c r="I132" s="328">
        <v>881590818</v>
      </c>
      <c r="J132" s="325">
        <v>5910</v>
      </c>
      <c r="N132" s="321">
        <v>44823</v>
      </c>
      <c r="O132" s="319">
        <v>64</v>
      </c>
      <c r="P132" s="310">
        <v>64</v>
      </c>
      <c r="Q132" s="319">
        <v>4</v>
      </c>
      <c r="R132" s="321">
        <v>44679</v>
      </c>
      <c r="S132" s="327">
        <v>45258</v>
      </c>
      <c r="T132" s="327"/>
      <c r="U132" s="327"/>
      <c r="V132" s="327"/>
      <c r="W132" s="327">
        <v>44895</v>
      </c>
      <c r="X132" s="324"/>
      <c r="Y132" s="324"/>
      <c r="Z132" s="324"/>
      <c r="AA132" s="327"/>
      <c r="AB132" s="322"/>
      <c r="AG132" s="312" t="s">
        <v>2254</v>
      </c>
    </row>
    <row r="133" spans="1:33" x14ac:dyDescent="0.25">
      <c r="A133" s="429">
        <v>123</v>
      </c>
      <c r="B133" s="320" t="s">
        <v>1097</v>
      </c>
      <c r="C133" s="321">
        <v>44446</v>
      </c>
      <c r="D133" s="319" t="s">
        <v>753</v>
      </c>
      <c r="E133" s="319" t="s">
        <v>695</v>
      </c>
      <c r="F133" s="334">
        <v>960340000376</v>
      </c>
      <c r="G133" s="319" t="s">
        <v>782</v>
      </c>
      <c r="H133" s="337" t="s">
        <v>2142</v>
      </c>
      <c r="I133" s="328">
        <v>4141712471</v>
      </c>
      <c r="J133" s="325">
        <v>20418.099999999999</v>
      </c>
      <c r="N133" s="321">
        <v>44470</v>
      </c>
      <c r="O133" s="319">
        <v>280</v>
      </c>
      <c r="P133" s="310">
        <v>280</v>
      </c>
      <c r="Q133" s="319">
        <v>15</v>
      </c>
      <c r="R133" s="321" t="s">
        <v>284</v>
      </c>
      <c r="S133" s="327" t="s">
        <v>283</v>
      </c>
      <c r="T133" s="327">
        <v>44973</v>
      </c>
      <c r="U133" s="327"/>
      <c r="V133" s="327"/>
      <c r="W133" s="327">
        <v>44921</v>
      </c>
      <c r="X133" s="324">
        <v>40236838</v>
      </c>
      <c r="Y133" s="324" t="s">
        <v>1098</v>
      </c>
      <c r="Z133" s="324">
        <v>3070319163</v>
      </c>
      <c r="AA133" s="327" t="s">
        <v>598</v>
      </c>
      <c r="AB133" s="322">
        <v>74</v>
      </c>
      <c r="AG133" s="312" t="s">
        <v>2254</v>
      </c>
    </row>
    <row r="134" spans="1:33" x14ac:dyDescent="0.25">
      <c r="A134" s="429">
        <v>124</v>
      </c>
      <c r="B134" s="320" t="s">
        <v>777</v>
      </c>
      <c r="C134" s="321">
        <v>44747</v>
      </c>
      <c r="D134" s="319" t="s">
        <v>174</v>
      </c>
      <c r="E134" s="319" t="s">
        <v>702</v>
      </c>
      <c r="F134" s="323" t="s">
        <v>1639</v>
      </c>
      <c r="G134" s="319" t="s">
        <v>710</v>
      </c>
      <c r="H134" s="323" t="s">
        <v>1812</v>
      </c>
      <c r="I134" s="328">
        <v>1977884401</v>
      </c>
      <c r="J134" s="325">
        <v>7070.7</v>
      </c>
      <c r="N134" s="321">
        <v>44784</v>
      </c>
      <c r="O134" s="319">
        <v>100</v>
      </c>
      <c r="P134" s="310">
        <v>100</v>
      </c>
      <c r="Q134" s="319">
        <v>5</v>
      </c>
      <c r="R134" s="327">
        <v>44676</v>
      </c>
      <c r="S134" s="327">
        <v>45010</v>
      </c>
      <c r="T134" s="327"/>
      <c r="U134" s="327"/>
      <c r="V134" s="327"/>
      <c r="W134" s="327">
        <v>44922</v>
      </c>
      <c r="X134" s="324">
        <v>39413928</v>
      </c>
      <c r="Y134" s="324" t="s">
        <v>673</v>
      </c>
      <c r="Z134" s="324"/>
      <c r="AA134" s="327" t="s">
        <v>594</v>
      </c>
      <c r="AB134" s="322">
        <v>91</v>
      </c>
      <c r="AG134" s="312" t="s">
        <v>2254</v>
      </c>
    </row>
    <row r="135" spans="1:33" x14ac:dyDescent="0.25">
      <c r="A135" s="429">
        <v>125</v>
      </c>
      <c r="B135" s="320" t="s">
        <v>776</v>
      </c>
      <c r="C135" s="321">
        <v>44733</v>
      </c>
      <c r="D135" s="319" t="s">
        <v>759</v>
      </c>
      <c r="E135" s="319" t="s">
        <v>706</v>
      </c>
      <c r="F135" s="337" t="s">
        <v>2064</v>
      </c>
      <c r="G135" s="319" t="s">
        <v>707</v>
      </c>
      <c r="H135" s="337" t="s">
        <v>2086</v>
      </c>
      <c r="I135" s="328">
        <v>1254168086</v>
      </c>
      <c r="J135" s="325">
        <v>4352.5</v>
      </c>
      <c r="N135" s="321">
        <v>44777</v>
      </c>
      <c r="O135" s="319">
        <v>58</v>
      </c>
      <c r="P135" s="310">
        <v>70</v>
      </c>
      <c r="Q135" s="319">
        <v>5</v>
      </c>
      <c r="R135" s="321">
        <v>44649</v>
      </c>
      <c r="S135" s="327">
        <v>44955</v>
      </c>
      <c r="T135" s="327"/>
      <c r="U135" s="327"/>
      <c r="V135" s="327"/>
      <c r="W135" s="327">
        <v>44944</v>
      </c>
      <c r="X135" s="324">
        <v>9996628</v>
      </c>
      <c r="Y135" s="324" t="s">
        <v>667</v>
      </c>
      <c r="Z135" s="324"/>
      <c r="AA135" s="327" t="s">
        <v>599</v>
      </c>
      <c r="AB135" s="322">
        <v>96</v>
      </c>
      <c r="AG135" s="312" t="s">
        <v>2254</v>
      </c>
    </row>
    <row r="136" spans="1:33" x14ac:dyDescent="0.25">
      <c r="A136" s="429">
        <v>126</v>
      </c>
      <c r="B136" s="320" t="s">
        <v>804</v>
      </c>
      <c r="C136" s="321">
        <v>44411</v>
      </c>
      <c r="D136" s="319" t="s">
        <v>1179</v>
      </c>
      <c r="E136" s="319" t="s">
        <v>729</v>
      </c>
      <c r="F136" s="337" t="s">
        <v>1954</v>
      </c>
      <c r="G136" s="319" t="s">
        <v>730</v>
      </c>
      <c r="H136" s="337" t="s">
        <v>2198</v>
      </c>
      <c r="I136" s="328">
        <v>1913348225</v>
      </c>
      <c r="J136" s="325">
        <v>10142.5</v>
      </c>
      <c r="N136" s="321">
        <v>44421</v>
      </c>
      <c r="O136" s="319">
        <v>76</v>
      </c>
      <c r="P136" s="310">
        <v>76</v>
      </c>
      <c r="Q136" s="319">
        <v>12</v>
      </c>
      <c r="R136" s="321">
        <v>44305</v>
      </c>
      <c r="S136" s="327">
        <v>44670</v>
      </c>
      <c r="T136" s="327">
        <v>44761</v>
      </c>
      <c r="U136" s="327">
        <v>44853</v>
      </c>
      <c r="V136" s="327">
        <v>44945</v>
      </c>
      <c r="W136" s="327">
        <v>44930</v>
      </c>
      <c r="X136" s="324">
        <v>15845471</v>
      </c>
      <c r="Y136" s="324" t="s">
        <v>634</v>
      </c>
      <c r="Z136" s="324"/>
      <c r="AA136" s="327" t="s">
        <v>669</v>
      </c>
      <c r="AB136" s="322">
        <v>87</v>
      </c>
      <c r="AG136" s="312" t="s">
        <v>2254</v>
      </c>
    </row>
    <row r="137" spans="1:33" x14ac:dyDescent="0.25">
      <c r="A137" s="429">
        <v>127</v>
      </c>
      <c r="B137" s="320" t="s">
        <v>1105</v>
      </c>
      <c r="C137" s="321">
        <v>44518</v>
      </c>
      <c r="D137" s="319" t="s">
        <v>1179</v>
      </c>
      <c r="E137" s="319" t="s">
        <v>716</v>
      </c>
      <c r="F137" s="334">
        <v>960340000376</v>
      </c>
      <c r="G137" s="319" t="s">
        <v>823</v>
      </c>
      <c r="H137" s="337" t="s">
        <v>2141</v>
      </c>
      <c r="I137" s="328">
        <v>714942693</v>
      </c>
      <c r="J137" s="325">
        <v>4226.16</v>
      </c>
      <c r="N137" s="321">
        <v>44537</v>
      </c>
      <c r="O137" s="319">
        <v>32</v>
      </c>
      <c r="P137" s="310">
        <v>32</v>
      </c>
      <c r="Q137" s="319">
        <v>8</v>
      </c>
      <c r="R137" s="321">
        <v>44475</v>
      </c>
      <c r="S137" s="327">
        <v>44687</v>
      </c>
      <c r="T137" s="327">
        <v>44779</v>
      </c>
      <c r="U137" s="327">
        <v>44871</v>
      </c>
      <c r="V137" s="327">
        <v>44963</v>
      </c>
      <c r="W137" s="327">
        <v>44956</v>
      </c>
      <c r="X137" s="324">
        <v>7120664</v>
      </c>
      <c r="Y137" s="324" t="s">
        <v>1106</v>
      </c>
      <c r="Z137" s="324">
        <v>482686491</v>
      </c>
      <c r="AA137" s="327" t="s">
        <v>599</v>
      </c>
      <c r="AB137" s="322">
        <v>74</v>
      </c>
      <c r="AG137" s="312" t="s">
        <v>2254</v>
      </c>
    </row>
    <row r="138" spans="1:33" x14ac:dyDescent="0.25">
      <c r="A138" s="429">
        <v>128</v>
      </c>
      <c r="B138" s="320" t="s">
        <v>811</v>
      </c>
      <c r="C138" s="321">
        <v>44516</v>
      </c>
      <c r="D138" s="319" t="s">
        <v>1179</v>
      </c>
      <c r="E138" s="319" t="s">
        <v>742</v>
      </c>
      <c r="F138" s="337" t="s">
        <v>2090</v>
      </c>
      <c r="G138" s="319" t="s">
        <v>743</v>
      </c>
      <c r="H138" s="337" t="s">
        <v>2145</v>
      </c>
      <c r="I138" s="328">
        <v>14427929363</v>
      </c>
      <c r="J138" s="325">
        <v>52895.49</v>
      </c>
      <c r="N138" s="321">
        <v>44526</v>
      </c>
      <c r="O138" s="319">
        <v>505</v>
      </c>
      <c r="P138" s="310">
        <v>505</v>
      </c>
      <c r="Q138" s="319" t="s">
        <v>359</v>
      </c>
      <c r="R138" s="321">
        <v>44482</v>
      </c>
      <c r="S138" s="327">
        <v>45212</v>
      </c>
      <c r="T138" s="327"/>
      <c r="U138" s="327"/>
      <c r="V138" s="327"/>
      <c r="W138" s="327">
        <v>44957</v>
      </c>
      <c r="X138" s="324">
        <v>141649069</v>
      </c>
      <c r="Y138" s="324" t="s">
        <v>653</v>
      </c>
      <c r="Z138" s="324">
        <v>10802747511</v>
      </c>
      <c r="AA138" s="327" t="s">
        <v>1312</v>
      </c>
      <c r="AB138" s="322">
        <v>70</v>
      </c>
      <c r="AG138" s="312" t="s">
        <v>2254</v>
      </c>
    </row>
    <row r="139" spans="1:33" x14ac:dyDescent="0.25">
      <c r="A139" s="429">
        <v>129</v>
      </c>
      <c r="B139" s="320" t="s">
        <v>810</v>
      </c>
      <c r="C139" s="321">
        <v>44529</v>
      </c>
      <c r="D139" s="319" t="s">
        <v>1179</v>
      </c>
      <c r="E139" s="319" t="s">
        <v>744</v>
      </c>
      <c r="F139" s="337" t="s">
        <v>2111</v>
      </c>
      <c r="G139" s="319" t="s">
        <v>2213</v>
      </c>
      <c r="H139" s="337" t="s">
        <v>2214</v>
      </c>
      <c r="I139" s="328">
        <v>3723017842</v>
      </c>
      <c r="J139" s="325">
        <v>16646.939999999999</v>
      </c>
      <c r="N139" s="321">
        <v>44552</v>
      </c>
      <c r="O139" s="319">
        <v>202</v>
      </c>
      <c r="P139" s="310">
        <v>202</v>
      </c>
      <c r="Q139" s="319" t="s">
        <v>374</v>
      </c>
      <c r="R139" s="321">
        <v>44479</v>
      </c>
      <c r="S139" s="327">
        <v>44814</v>
      </c>
      <c r="T139" s="327">
        <v>44905</v>
      </c>
      <c r="U139" s="327">
        <v>44995</v>
      </c>
      <c r="V139" s="327"/>
      <c r="W139" s="327">
        <v>44957</v>
      </c>
      <c r="X139" s="324">
        <v>34824929</v>
      </c>
      <c r="Y139" s="324" t="s">
        <v>630</v>
      </c>
      <c r="Z139" s="324"/>
      <c r="AA139" s="327" t="s">
        <v>594</v>
      </c>
      <c r="AB139" s="322">
        <v>69</v>
      </c>
      <c r="AG139" s="312" t="s">
        <v>2254</v>
      </c>
    </row>
    <row r="140" spans="1:33" x14ac:dyDescent="0.25">
      <c r="A140" s="429">
        <v>130</v>
      </c>
      <c r="B140" s="320" t="s">
        <v>762</v>
      </c>
      <c r="C140" s="321">
        <v>44560</v>
      </c>
      <c r="D140" s="319" t="s">
        <v>174</v>
      </c>
      <c r="E140" s="319" t="s">
        <v>702</v>
      </c>
      <c r="F140" s="323" t="s">
        <v>1639</v>
      </c>
      <c r="G140" s="319" t="s">
        <v>684</v>
      </c>
      <c r="H140" s="337" t="s">
        <v>1968</v>
      </c>
      <c r="I140" s="328">
        <v>3337917283</v>
      </c>
      <c r="J140" s="325">
        <v>13974.9</v>
      </c>
      <c r="N140" s="321">
        <v>44581</v>
      </c>
      <c r="O140" s="319">
        <v>76</v>
      </c>
      <c r="P140" s="310">
        <v>76</v>
      </c>
      <c r="Q140" s="319">
        <v>5</v>
      </c>
      <c r="R140" s="321">
        <v>44477</v>
      </c>
      <c r="S140" s="327">
        <v>44781</v>
      </c>
      <c r="T140" s="327">
        <v>44873</v>
      </c>
      <c r="U140" s="327">
        <v>44965</v>
      </c>
      <c r="V140" s="327"/>
      <c r="W140" s="327">
        <v>44960</v>
      </c>
      <c r="X140" s="324">
        <v>30170965</v>
      </c>
      <c r="Y140" s="324" t="s">
        <v>601</v>
      </c>
      <c r="Z140" s="324"/>
      <c r="AA140" s="327" t="s">
        <v>594</v>
      </c>
      <c r="AB140" s="322">
        <v>68</v>
      </c>
      <c r="AG140" s="312" t="s">
        <v>2254</v>
      </c>
    </row>
    <row r="141" spans="1:33" x14ac:dyDescent="0.25">
      <c r="A141" s="429">
        <v>131</v>
      </c>
      <c r="B141" s="320" t="s">
        <v>765</v>
      </c>
      <c r="C141" s="321">
        <v>44588</v>
      </c>
      <c r="D141" s="319" t="s">
        <v>1179</v>
      </c>
      <c r="E141" s="319" t="s">
        <v>691</v>
      </c>
      <c r="F141" s="337" t="s">
        <v>1630</v>
      </c>
      <c r="G141" s="319" t="s">
        <v>692</v>
      </c>
      <c r="H141" s="337" t="s">
        <v>1631</v>
      </c>
      <c r="I141" s="328">
        <v>2623084471.5</v>
      </c>
      <c r="J141" s="325">
        <v>12795</v>
      </c>
      <c r="N141" s="321">
        <v>44607</v>
      </c>
      <c r="O141" s="319">
        <v>161</v>
      </c>
      <c r="P141" s="310">
        <v>161</v>
      </c>
      <c r="Q141" s="319">
        <v>24</v>
      </c>
      <c r="R141" s="321">
        <v>44483</v>
      </c>
      <c r="S141" s="327">
        <v>44909</v>
      </c>
      <c r="T141" s="327">
        <v>44999</v>
      </c>
      <c r="U141" s="327"/>
      <c r="V141" s="327"/>
      <c r="W141" s="327">
        <v>45225</v>
      </c>
      <c r="X141" s="324">
        <v>43394192</v>
      </c>
      <c r="Y141" s="324" t="s">
        <v>605</v>
      </c>
      <c r="Z141" s="324"/>
      <c r="AA141" s="327" t="s">
        <v>680</v>
      </c>
      <c r="AB141" s="322">
        <v>84</v>
      </c>
      <c r="AG141" s="312" t="s">
        <v>2254</v>
      </c>
    </row>
    <row r="142" spans="1:33" x14ac:dyDescent="0.25">
      <c r="A142" s="430"/>
      <c r="B142" s="346" t="s">
        <v>2245</v>
      </c>
      <c r="C142" s="321">
        <v>44959</v>
      </c>
      <c r="D142" s="319" t="s">
        <v>1179</v>
      </c>
      <c r="E142" s="319" t="s">
        <v>691</v>
      </c>
      <c r="F142" s="337" t="s">
        <v>1630</v>
      </c>
      <c r="G142" s="319" t="s">
        <v>692</v>
      </c>
      <c r="H142" s="337" t="s">
        <v>1631</v>
      </c>
      <c r="I142" s="328">
        <v>2664473813.5</v>
      </c>
      <c r="J142" s="325">
        <v>12795</v>
      </c>
      <c r="N142" s="321">
        <v>44607</v>
      </c>
      <c r="O142" s="319">
        <v>161</v>
      </c>
      <c r="P142" s="310">
        <v>161</v>
      </c>
      <c r="Q142" s="319">
        <v>24</v>
      </c>
      <c r="R142" s="321">
        <v>44483</v>
      </c>
      <c r="S142" s="327">
        <v>44999</v>
      </c>
      <c r="T142" s="327"/>
      <c r="U142" s="327"/>
      <c r="V142" s="327"/>
      <c r="W142" s="327">
        <v>44936</v>
      </c>
      <c r="X142" s="324">
        <v>-17163346</v>
      </c>
      <c r="Y142" s="324" t="s">
        <v>1324</v>
      </c>
      <c r="Z142" s="324">
        <f>5287558285-2623084471.5</f>
        <v>2664473813.5</v>
      </c>
      <c r="AA142" s="327" t="s">
        <v>680</v>
      </c>
      <c r="AB142" s="322">
        <v>84</v>
      </c>
      <c r="AG142" s="312" t="s">
        <v>2254</v>
      </c>
    </row>
    <row r="143" spans="1:33" x14ac:dyDescent="0.25">
      <c r="A143" s="429">
        <v>132</v>
      </c>
      <c r="B143" s="320" t="s">
        <v>812</v>
      </c>
      <c r="C143" s="321">
        <v>44495</v>
      </c>
      <c r="D143" s="319" t="s">
        <v>1179</v>
      </c>
      <c r="E143" s="319" t="s">
        <v>2114</v>
      </c>
      <c r="F143" s="337" t="s">
        <v>2115</v>
      </c>
      <c r="G143" s="319" t="s">
        <v>735</v>
      </c>
      <c r="H143" s="337" t="s">
        <v>2175</v>
      </c>
      <c r="I143" s="328">
        <v>4189841202</v>
      </c>
      <c r="J143" s="325">
        <v>24087.8</v>
      </c>
      <c r="N143" s="321">
        <v>44505</v>
      </c>
      <c r="O143" s="319">
        <v>222</v>
      </c>
      <c r="P143" s="310">
        <v>222</v>
      </c>
      <c r="Q143" s="319" t="s">
        <v>193</v>
      </c>
      <c r="R143" s="321">
        <v>44222</v>
      </c>
      <c r="S143" s="327">
        <v>44681</v>
      </c>
      <c r="T143" s="327">
        <v>44772</v>
      </c>
      <c r="U143" s="327">
        <v>44864</v>
      </c>
      <c r="V143" s="327">
        <v>44956</v>
      </c>
      <c r="W143" s="327">
        <v>44970</v>
      </c>
      <c r="X143" s="324">
        <v>35541630</v>
      </c>
      <c r="Y143" s="324" t="s">
        <v>647</v>
      </c>
      <c r="Z143" s="324"/>
      <c r="AA143" s="327" t="s">
        <v>1282</v>
      </c>
      <c r="AB143" s="322">
        <v>71</v>
      </c>
      <c r="AG143" s="312" t="s">
        <v>2254</v>
      </c>
    </row>
    <row r="144" spans="1:33" x14ac:dyDescent="0.25">
      <c r="A144" s="429">
        <v>133</v>
      </c>
      <c r="B144" s="320" t="s">
        <v>1100</v>
      </c>
      <c r="C144" s="321">
        <v>44481</v>
      </c>
      <c r="D144" s="319" t="s">
        <v>1179</v>
      </c>
      <c r="E144" s="319" t="s">
        <v>716</v>
      </c>
      <c r="F144" s="334">
        <v>960340000376</v>
      </c>
      <c r="G144" s="319" t="s">
        <v>823</v>
      </c>
      <c r="H144" s="337" t="s">
        <v>2141</v>
      </c>
      <c r="I144" s="328">
        <v>4131946931</v>
      </c>
      <c r="J144" s="325">
        <v>17546.03</v>
      </c>
      <c r="N144" s="321">
        <v>44496</v>
      </c>
      <c r="O144" s="319">
        <v>118</v>
      </c>
      <c r="P144" s="310">
        <v>118</v>
      </c>
      <c r="Q144" s="319" t="s">
        <v>304</v>
      </c>
      <c r="R144" s="321">
        <v>44270</v>
      </c>
      <c r="S144" s="327">
        <v>44910</v>
      </c>
      <c r="T144" s="327">
        <v>45000</v>
      </c>
      <c r="U144" s="327"/>
      <c r="V144" s="327"/>
      <c r="W144" s="327">
        <v>44998</v>
      </c>
      <c r="X144" s="324">
        <v>36410669</v>
      </c>
      <c r="Y144" s="324" t="s">
        <v>1101</v>
      </c>
      <c r="Z144" s="324">
        <v>2181890130</v>
      </c>
      <c r="AA144" s="327" t="s">
        <v>599</v>
      </c>
      <c r="AB144" s="322">
        <v>74</v>
      </c>
      <c r="AG144" s="312" t="s">
        <v>2254</v>
      </c>
    </row>
    <row r="145" spans="1:33" x14ac:dyDescent="0.25">
      <c r="A145" s="429">
        <v>134</v>
      </c>
      <c r="B145" s="320" t="s">
        <v>769</v>
      </c>
      <c r="C145" s="321">
        <v>44603</v>
      </c>
      <c r="D145" s="319" t="s">
        <v>452</v>
      </c>
      <c r="E145" s="319" t="s">
        <v>696</v>
      </c>
      <c r="F145" s="323" t="s">
        <v>1648</v>
      </c>
      <c r="G145" s="319" t="s">
        <v>697</v>
      </c>
      <c r="H145" s="337" t="s">
        <v>2185</v>
      </c>
      <c r="I145" s="328">
        <v>2548284320</v>
      </c>
      <c r="J145" s="325">
        <v>19437.099999999999</v>
      </c>
      <c r="N145" s="321">
        <v>44624</v>
      </c>
      <c r="O145" s="319">
        <v>207</v>
      </c>
      <c r="P145" s="310">
        <v>207</v>
      </c>
      <c r="Q145" s="319">
        <v>9</v>
      </c>
      <c r="R145" s="321">
        <v>44539</v>
      </c>
      <c r="S145" s="327">
        <v>44904</v>
      </c>
      <c r="T145" s="327">
        <v>44994</v>
      </c>
      <c r="U145" s="327"/>
      <c r="V145" s="327"/>
      <c r="W145" s="327">
        <v>44979</v>
      </c>
      <c r="X145" s="324">
        <v>25482843</v>
      </c>
      <c r="Y145" s="324" t="s">
        <v>608</v>
      </c>
      <c r="Z145" s="324"/>
      <c r="AA145" s="327" t="s">
        <v>598</v>
      </c>
      <c r="AB145" s="322">
        <v>100</v>
      </c>
      <c r="AG145" s="312" t="s">
        <v>2254</v>
      </c>
    </row>
    <row r="146" spans="1:33" x14ac:dyDescent="0.25">
      <c r="A146" s="429">
        <v>135</v>
      </c>
      <c r="B146" s="320" t="s">
        <v>767</v>
      </c>
      <c r="C146" s="321">
        <v>44588</v>
      </c>
      <c r="D146" s="319" t="s">
        <v>1179</v>
      </c>
      <c r="E146" s="319" t="s">
        <v>689</v>
      </c>
      <c r="F146" s="337" t="s">
        <v>1621</v>
      </c>
      <c r="G146" s="319" t="s">
        <v>719</v>
      </c>
      <c r="H146" s="337" t="s">
        <v>2211</v>
      </c>
      <c r="I146" s="328">
        <v>10967277322</v>
      </c>
      <c r="J146" s="325">
        <v>36026.400000000001</v>
      </c>
      <c r="N146" s="321">
        <v>44603</v>
      </c>
      <c r="O146" s="319">
        <v>304</v>
      </c>
      <c r="P146" s="310">
        <v>304</v>
      </c>
      <c r="Q146" s="319" t="s">
        <v>398</v>
      </c>
      <c r="R146" s="321">
        <v>44516</v>
      </c>
      <c r="S146" s="327">
        <v>44973</v>
      </c>
      <c r="T146" s="327">
        <v>45062</v>
      </c>
      <c r="U146" s="327"/>
      <c r="V146" s="327"/>
      <c r="W146" s="327">
        <v>45016</v>
      </c>
      <c r="X146" s="324">
        <v>108547511</v>
      </c>
      <c r="Y146" s="324" t="s">
        <v>1107</v>
      </c>
      <c r="Z146" s="324"/>
      <c r="AA146" s="327" t="s">
        <v>1312</v>
      </c>
      <c r="AB146" s="322">
        <v>73</v>
      </c>
      <c r="AG146" s="312" t="s">
        <v>2254</v>
      </c>
    </row>
    <row r="147" spans="1:33" x14ac:dyDescent="0.25">
      <c r="A147" s="429">
        <v>136</v>
      </c>
      <c r="B147" s="320" t="s">
        <v>1099</v>
      </c>
      <c r="C147" s="321">
        <v>44462</v>
      </c>
      <c r="D147" s="319" t="s">
        <v>1179</v>
      </c>
      <c r="E147" s="319" t="s">
        <v>689</v>
      </c>
      <c r="F147" s="337" t="s">
        <v>1621</v>
      </c>
      <c r="G147" s="319" t="s">
        <v>690</v>
      </c>
      <c r="H147" s="337" t="s">
        <v>2139</v>
      </c>
      <c r="I147" s="328">
        <v>4580426896</v>
      </c>
      <c r="J147" s="325">
        <v>24186.6</v>
      </c>
      <c r="N147" s="321">
        <v>44484</v>
      </c>
      <c r="O147" s="319">
        <v>287</v>
      </c>
      <c r="P147" s="310">
        <v>287</v>
      </c>
      <c r="Q147" s="319" t="s">
        <v>193</v>
      </c>
      <c r="R147" s="321">
        <v>44363</v>
      </c>
      <c r="S147" s="327">
        <v>44973</v>
      </c>
      <c r="T147" s="327">
        <v>45062</v>
      </c>
      <c r="U147" s="327"/>
      <c r="V147" s="327"/>
      <c r="W147" s="327">
        <v>45016</v>
      </c>
      <c r="X147" s="324">
        <v>45466436.780000001</v>
      </c>
      <c r="Y147" s="324" t="s">
        <v>643</v>
      </c>
      <c r="Z147" s="324">
        <v>3954052790</v>
      </c>
      <c r="AA147" s="327" t="s">
        <v>599</v>
      </c>
      <c r="AB147" s="322">
        <v>73</v>
      </c>
      <c r="AG147" s="312" t="s">
        <v>2254</v>
      </c>
    </row>
    <row r="148" spans="1:33" x14ac:dyDescent="0.25">
      <c r="A148" s="429"/>
      <c r="B148" s="346" t="s">
        <v>2246</v>
      </c>
      <c r="C148" s="321">
        <v>44581</v>
      </c>
      <c r="D148" s="319" t="s">
        <v>1179</v>
      </c>
      <c r="E148" s="319" t="s">
        <v>689</v>
      </c>
      <c r="F148" s="337" t="s">
        <v>1621</v>
      </c>
      <c r="G148" s="319" t="s">
        <v>779</v>
      </c>
      <c r="H148" s="337" t="s">
        <v>2139</v>
      </c>
      <c r="I148" s="328">
        <v>269027742</v>
      </c>
      <c r="J148" s="325">
        <v>0</v>
      </c>
      <c r="N148" s="321">
        <v>44588</v>
      </c>
      <c r="O148" s="319">
        <v>0</v>
      </c>
      <c r="P148" s="310">
        <v>0</v>
      </c>
      <c r="Q148" s="319">
        <v>0</v>
      </c>
      <c r="R148" s="321">
        <v>44441</v>
      </c>
      <c r="S148" s="327">
        <v>45062</v>
      </c>
      <c r="T148" s="327"/>
      <c r="U148" s="327"/>
      <c r="V148" s="327"/>
      <c r="W148" s="327">
        <v>45016</v>
      </c>
      <c r="X148" s="324">
        <v>2690277</v>
      </c>
      <c r="Y148" s="324" t="s">
        <v>1116</v>
      </c>
      <c r="Z148" s="324"/>
      <c r="AA148" s="327"/>
      <c r="AB148" s="322">
        <v>73</v>
      </c>
      <c r="AG148" s="312" t="s">
        <v>2254</v>
      </c>
    </row>
    <row r="149" spans="1:33" x14ac:dyDescent="0.25">
      <c r="A149" s="429">
        <v>137</v>
      </c>
      <c r="B149" s="320" t="s">
        <v>1351</v>
      </c>
      <c r="C149" s="321">
        <v>44455</v>
      </c>
      <c r="D149" s="319" t="s">
        <v>753</v>
      </c>
      <c r="E149" s="319" t="s">
        <v>734</v>
      </c>
      <c r="F149" s="337" t="s">
        <v>2098</v>
      </c>
      <c r="G149" s="319" t="s">
        <v>1547</v>
      </c>
      <c r="H149" s="337" t="s">
        <v>2152</v>
      </c>
      <c r="I149" s="328">
        <v>8144475097</v>
      </c>
      <c r="J149" s="325">
        <v>30114.38</v>
      </c>
      <c r="N149" s="321">
        <v>44463</v>
      </c>
      <c r="O149" s="319">
        <v>323</v>
      </c>
      <c r="P149" s="310">
        <v>323</v>
      </c>
      <c r="Q149" s="319">
        <v>12</v>
      </c>
      <c r="R149" s="321">
        <v>44377</v>
      </c>
      <c r="S149" s="327">
        <v>45137</v>
      </c>
      <c r="T149" s="327"/>
      <c r="U149" s="327"/>
      <c r="V149" s="327"/>
      <c r="W149" s="327">
        <v>45048</v>
      </c>
      <c r="X149" s="324"/>
      <c r="Y149" s="324" t="s">
        <v>631</v>
      </c>
      <c r="Z149" s="324">
        <f>6918499189+252978993</f>
        <v>7171478182</v>
      </c>
      <c r="AA149" s="327" t="s">
        <v>607</v>
      </c>
      <c r="AB149" s="322">
        <v>92</v>
      </c>
      <c r="AG149" s="312" t="s">
        <v>2254</v>
      </c>
    </row>
    <row r="150" spans="1:33" x14ac:dyDescent="0.25">
      <c r="A150" s="429">
        <v>138</v>
      </c>
      <c r="B150" s="320" t="s">
        <v>797</v>
      </c>
      <c r="C150" s="321">
        <v>44313</v>
      </c>
      <c r="D150" s="319" t="s">
        <v>1179</v>
      </c>
      <c r="E150" s="319" t="s">
        <v>827</v>
      </c>
      <c r="F150" s="337" t="s">
        <v>1632</v>
      </c>
      <c r="G150" s="319" t="s">
        <v>818</v>
      </c>
      <c r="H150" s="337" t="s">
        <v>2122</v>
      </c>
      <c r="I150" s="328">
        <v>2394747276</v>
      </c>
      <c r="J150" s="325">
        <v>15182.7</v>
      </c>
      <c r="N150" s="321">
        <v>44336</v>
      </c>
      <c r="O150" s="319">
        <v>102</v>
      </c>
      <c r="P150" s="310">
        <v>102</v>
      </c>
      <c r="Q150" s="319">
        <v>18</v>
      </c>
      <c r="R150" s="321">
        <v>44236</v>
      </c>
      <c r="S150" s="327">
        <v>44904</v>
      </c>
      <c r="T150" s="327">
        <v>44994</v>
      </c>
      <c r="U150" s="327">
        <v>45086</v>
      </c>
      <c r="V150" s="327">
        <v>45086</v>
      </c>
      <c r="W150" s="327">
        <v>45049</v>
      </c>
      <c r="X150" s="324">
        <v>23442931</v>
      </c>
      <c r="Y150" s="324" t="s">
        <v>626</v>
      </c>
      <c r="Z150" s="324"/>
      <c r="AA150" s="327" t="s">
        <v>594</v>
      </c>
      <c r="AB150" s="322">
        <v>89</v>
      </c>
      <c r="AG150" s="312" t="s">
        <v>2254</v>
      </c>
    </row>
    <row r="151" spans="1:33" x14ac:dyDescent="0.25">
      <c r="A151" s="429">
        <v>139</v>
      </c>
      <c r="B151" s="320" t="s">
        <v>800</v>
      </c>
      <c r="C151" s="321">
        <v>44355</v>
      </c>
      <c r="D151" s="319" t="s">
        <v>174</v>
      </c>
      <c r="E151" s="319" t="s">
        <v>693</v>
      </c>
      <c r="F151" s="337" t="s">
        <v>1643</v>
      </c>
      <c r="G151" s="319" t="s">
        <v>724</v>
      </c>
      <c r="H151" s="337" t="s">
        <v>2032</v>
      </c>
      <c r="I151" s="328">
        <v>7032122117</v>
      </c>
      <c r="J151" s="325">
        <v>22629.3</v>
      </c>
      <c r="N151" s="321">
        <v>44364</v>
      </c>
      <c r="O151" s="319">
        <v>306</v>
      </c>
      <c r="P151" s="310">
        <v>306</v>
      </c>
      <c r="Q151" s="319">
        <v>9</v>
      </c>
      <c r="R151" s="321">
        <v>44309</v>
      </c>
      <c r="S151" s="327">
        <v>44796</v>
      </c>
      <c r="T151" s="327">
        <v>44888</v>
      </c>
      <c r="U151" s="327">
        <v>44980</v>
      </c>
      <c r="V151" s="327">
        <v>45069</v>
      </c>
      <c r="W151" s="327">
        <v>45058</v>
      </c>
      <c r="X151" s="324">
        <v>70321221</v>
      </c>
      <c r="Y151" s="324" t="s">
        <v>629</v>
      </c>
      <c r="Z151" s="324"/>
      <c r="AA151" s="327" t="s">
        <v>599</v>
      </c>
      <c r="AB151" s="322">
        <v>68</v>
      </c>
      <c r="AG151" s="312" t="s">
        <v>2254</v>
      </c>
    </row>
    <row r="152" spans="1:33" x14ac:dyDescent="0.25">
      <c r="A152" s="430"/>
      <c r="B152" s="346" t="s">
        <v>1977</v>
      </c>
      <c r="C152" s="321">
        <v>44502</v>
      </c>
      <c r="D152" s="319" t="s">
        <v>176</v>
      </c>
      <c r="E152" s="319" t="s">
        <v>737</v>
      </c>
      <c r="F152" s="337" t="s">
        <v>2105</v>
      </c>
      <c r="G152" s="319" t="s">
        <v>738</v>
      </c>
      <c r="H152" s="337" t="s">
        <v>2154</v>
      </c>
      <c r="I152" s="328">
        <f>1888729449</f>
        <v>1888729449</v>
      </c>
      <c r="J152" s="325">
        <f>8308.3</f>
        <v>8308.2999999999993</v>
      </c>
      <c r="N152" s="321">
        <v>44526</v>
      </c>
      <c r="O152" s="319">
        <f>54</f>
        <v>54</v>
      </c>
      <c r="P152" s="310">
        <f>54</f>
        <v>54</v>
      </c>
      <c r="Q152" s="319">
        <v>9</v>
      </c>
      <c r="R152" s="321">
        <v>44244</v>
      </c>
      <c r="S152" s="327">
        <v>44805</v>
      </c>
      <c r="T152" s="327">
        <v>44896</v>
      </c>
      <c r="U152" s="327">
        <v>44986</v>
      </c>
      <c r="V152" s="327">
        <v>45078</v>
      </c>
      <c r="W152" s="327">
        <v>45062</v>
      </c>
      <c r="X152" s="324"/>
      <c r="Y152" s="324" t="s">
        <v>649</v>
      </c>
      <c r="Z152" s="324"/>
      <c r="AA152" s="327" t="s">
        <v>681</v>
      </c>
      <c r="AB152" s="322">
        <v>84</v>
      </c>
      <c r="AG152" s="312" t="s">
        <v>2254</v>
      </c>
    </row>
    <row r="153" spans="1:33" x14ac:dyDescent="0.25">
      <c r="A153" s="429">
        <v>140</v>
      </c>
      <c r="B153" s="320" t="s">
        <v>1523</v>
      </c>
      <c r="C153" s="321">
        <v>44273</v>
      </c>
      <c r="D153" s="319" t="s">
        <v>1179</v>
      </c>
      <c r="E153" s="319" t="s">
        <v>695</v>
      </c>
      <c r="F153" s="334">
        <v>960340000376</v>
      </c>
      <c r="G153" s="319" t="s">
        <v>816</v>
      </c>
      <c r="H153" s="337" t="s">
        <v>2186</v>
      </c>
      <c r="I153" s="328">
        <v>3158014308</v>
      </c>
      <c r="J153" s="325">
        <v>20590.2</v>
      </c>
      <c r="N153" s="321">
        <v>44295</v>
      </c>
      <c r="O153" s="319">
        <v>94</v>
      </c>
      <c r="P153" s="310">
        <v>94</v>
      </c>
      <c r="Q153" s="319">
        <v>8</v>
      </c>
      <c r="R153" s="321">
        <v>44224</v>
      </c>
      <c r="S153" s="327">
        <v>44832</v>
      </c>
      <c r="T153" s="327">
        <v>44923</v>
      </c>
      <c r="U153" s="327">
        <v>45013</v>
      </c>
      <c r="V153" s="327">
        <v>45105</v>
      </c>
      <c r="W153" s="327">
        <v>45078</v>
      </c>
      <c r="X153" s="324">
        <v>31148273</v>
      </c>
      <c r="Y153" s="324" t="s">
        <v>619</v>
      </c>
      <c r="Z153" s="324">
        <v>1817522338</v>
      </c>
      <c r="AA153" s="327" t="s">
        <v>607</v>
      </c>
      <c r="AB153" s="322">
        <v>84</v>
      </c>
      <c r="AG153" s="312" t="s">
        <v>2254</v>
      </c>
    </row>
    <row r="154" spans="1:33" x14ac:dyDescent="0.25">
      <c r="A154" s="429">
        <v>141</v>
      </c>
      <c r="B154" s="320" t="s">
        <v>814</v>
      </c>
      <c r="C154" s="321">
        <v>44467</v>
      </c>
      <c r="D154" s="319" t="s">
        <v>753</v>
      </c>
      <c r="E154" s="319" t="s">
        <v>725</v>
      </c>
      <c r="F154" s="337" t="s">
        <v>2098</v>
      </c>
      <c r="G154" s="319" t="s">
        <v>822</v>
      </c>
      <c r="H154" s="337" t="s">
        <v>2155</v>
      </c>
      <c r="I154" s="328">
        <v>3392109393</v>
      </c>
      <c r="J154" s="325">
        <v>11238.23</v>
      </c>
      <c r="N154" s="321">
        <v>44491</v>
      </c>
      <c r="O154" s="319">
        <v>156</v>
      </c>
      <c r="P154" s="310">
        <v>158</v>
      </c>
      <c r="Q154" s="319">
        <v>16</v>
      </c>
      <c r="R154" s="321">
        <v>44423</v>
      </c>
      <c r="S154" s="327">
        <v>44819</v>
      </c>
      <c r="T154" s="327">
        <v>44910</v>
      </c>
      <c r="U154" s="327">
        <v>45000</v>
      </c>
      <c r="V154" s="327">
        <v>45092</v>
      </c>
      <c r="W154" s="327">
        <v>45180</v>
      </c>
      <c r="X154" s="324">
        <v>33591007</v>
      </c>
      <c r="Y154" s="324" t="s">
        <v>644</v>
      </c>
      <c r="Z154" s="324">
        <v>2908674188</v>
      </c>
      <c r="AA154" s="327" t="s">
        <v>680</v>
      </c>
      <c r="AB154" s="322">
        <v>92</v>
      </c>
      <c r="AG154" s="312" t="s">
        <v>2254</v>
      </c>
    </row>
    <row r="155" spans="1:33" x14ac:dyDescent="0.25">
      <c r="A155" s="429">
        <v>142</v>
      </c>
      <c r="B155" s="320" t="s">
        <v>1094</v>
      </c>
      <c r="C155" s="321">
        <v>44355</v>
      </c>
      <c r="D155" s="319" t="s">
        <v>176</v>
      </c>
      <c r="E155" s="319" t="s">
        <v>722</v>
      </c>
      <c r="F155" s="337" t="s">
        <v>1644</v>
      </c>
      <c r="G155" s="319" t="s">
        <v>723</v>
      </c>
      <c r="H155" s="337" t="s">
        <v>2148</v>
      </c>
      <c r="I155" s="328">
        <v>5405809863</v>
      </c>
      <c r="J155" s="325">
        <v>42064.2</v>
      </c>
      <c r="N155" s="321">
        <v>44377</v>
      </c>
      <c r="O155" s="319">
        <v>440</v>
      </c>
      <c r="P155" s="310">
        <v>495</v>
      </c>
      <c r="Q155" s="319">
        <v>9</v>
      </c>
      <c r="R155" s="321">
        <v>44320</v>
      </c>
      <c r="S155" s="327">
        <v>44838</v>
      </c>
      <c r="T155" s="327">
        <v>44930</v>
      </c>
      <c r="U155" s="327">
        <v>45020</v>
      </c>
      <c r="V155" s="327">
        <v>45111</v>
      </c>
      <c r="W155" s="327">
        <v>45103</v>
      </c>
      <c r="X155" s="324">
        <v>48636740</v>
      </c>
      <c r="Y155" s="324" t="s">
        <v>1151</v>
      </c>
      <c r="Z155" s="324"/>
      <c r="AA155" s="327" t="s">
        <v>599</v>
      </c>
      <c r="AB155" s="322">
        <v>70</v>
      </c>
      <c r="AG155" s="312" t="s">
        <v>2254</v>
      </c>
    </row>
    <row r="156" spans="1:33" x14ac:dyDescent="0.25">
      <c r="A156" s="429"/>
      <c r="B156" s="346" t="s">
        <v>1552</v>
      </c>
      <c r="C156" s="321">
        <v>44504</v>
      </c>
      <c r="D156" s="319" t="s">
        <v>369</v>
      </c>
      <c r="E156" s="319" t="s">
        <v>740</v>
      </c>
      <c r="F156" s="337" t="s">
        <v>1644</v>
      </c>
      <c r="G156" s="319" t="s">
        <v>741</v>
      </c>
      <c r="H156" s="337" t="s">
        <v>2149</v>
      </c>
      <c r="I156" s="328">
        <v>5649266960</v>
      </c>
      <c r="J156" s="325">
        <v>35758.5</v>
      </c>
      <c r="N156" s="321">
        <v>44523</v>
      </c>
      <c r="O156" s="319">
        <v>480</v>
      </c>
      <c r="P156" s="310">
        <v>471</v>
      </c>
      <c r="Q156" s="319">
        <v>5</v>
      </c>
      <c r="R156" s="321">
        <v>44370</v>
      </c>
      <c r="S156" s="327">
        <v>45434</v>
      </c>
      <c r="T156" s="327"/>
      <c r="U156" s="327"/>
      <c r="V156" s="327"/>
      <c r="W156" s="327">
        <v>45117</v>
      </c>
      <c r="X156" s="324">
        <v>116526220</v>
      </c>
      <c r="Y156" s="324" t="s">
        <v>650</v>
      </c>
      <c r="Z156" s="324"/>
      <c r="AA156" s="327" t="s">
        <v>598</v>
      </c>
      <c r="AB156" s="322">
        <v>80</v>
      </c>
      <c r="AG156" s="312" t="s">
        <v>2254</v>
      </c>
    </row>
    <row r="157" spans="1:33" x14ac:dyDescent="0.25">
      <c r="A157" s="429">
        <v>143</v>
      </c>
      <c r="B157" s="320" t="s">
        <v>1530</v>
      </c>
      <c r="C157" s="321">
        <v>44078</v>
      </c>
      <c r="D157" s="319" t="s">
        <v>753</v>
      </c>
      <c r="E157" s="319" t="s">
        <v>701</v>
      </c>
      <c r="F157" s="337" t="s">
        <v>2104</v>
      </c>
      <c r="G157" s="319" t="s">
        <v>1754</v>
      </c>
      <c r="H157" s="337" t="s">
        <v>2188</v>
      </c>
      <c r="I157" s="328">
        <v>6150332110</v>
      </c>
      <c r="J157" s="325">
        <v>34788.65</v>
      </c>
      <c r="N157" s="321">
        <v>44091</v>
      </c>
      <c r="O157" s="319">
        <v>224</v>
      </c>
      <c r="P157" s="310">
        <v>236</v>
      </c>
      <c r="Q157" s="319">
        <v>17.18</v>
      </c>
      <c r="R157" s="321">
        <v>44055</v>
      </c>
      <c r="S157" s="327">
        <v>44846</v>
      </c>
      <c r="T157" s="327">
        <v>44938</v>
      </c>
      <c r="U157" s="327">
        <v>45028</v>
      </c>
      <c r="V157" s="327">
        <v>45119</v>
      </c>
      <c r="W157" s="327">
        <v>45118</v>
      </c>
      <c r="X157" s="324">
        <v>110320752</v>
      </c>
      <c r="Y157" s="324" t="s">
        <v>1081</v>
      </c>
      <c r="Z157" s="324"/>
      <c r="AA157" s="327" t="s">
        <v>594</v>
      </c>
      <c r="AB157" s="322">
        <v>69</v>
      </c>
      <c r="AG157" s="312" t="s">
        <v>2254</v>
      </c>
    </row>
    <row r="158" spans="1:33" x14ac:dyDescent="0.25">
      <c r="A158" s="429"/>
      <c r="B158" s="346" t="s">
        <v>2247</v>
      </c>
      <c r="C158" s="321">
        <v>44663</v>
      </c>
      <c r="D158" s="319" t="s">
        <v>753</v>
      </c>
      <c r="E158" s="319" t="s">
        <v>701</v>
      </c>
      <c r="F158" s="337" t="s">
        <v>2104</v>
      </c>
      <c r="G158" s="319" t="s">
        <v>1754</v>
      </c>
      <c r="H158" s="337" t="s">
        <v>2188</v>
      </c>
      <c r="I158" s="328">
        <v>2346373661</v>
      </c>
      <c r="J158" s="325">
        <v>0</v>
      </c>
      <c r="N158" s="321">
        <v>44673</v>
      </c>
      <c r="O158" s="319">
        <v>0</v>
      </c>
      <c r="P158" s="310">
        <v>0</v>
      </c>
      <c r="Q158" s="319" t="s">
        <v>28</v>
      </c>
      <c r="R158" s="321">
        <v>44055</v>
      </c>
      <c r="S158" s="327">
        <v>44846</v>
      </c>
      <c r="T158" s="327">
        <v>44938</v>
      </c>
      <c r="U158" s="327">
        <v>45028</v>
      </c>
      <c r="V158" s="327">
        <v>45119</v>
      </c>
      <c r="W158" s="327">
        <v>45118</v>
      </c>
      <c r="X158" s="324">
        <v>23463737</v>
      </c>
      <c r="Y158" s="324" t="s">
        <v>1084</v>
      </c>
      <c r="Z158" s="324"/>
      <c r="AA158" s="327" t="s">
        <v>594</v>
      </c>
      <c r="AB158" s="322">
        <v>69</v>
      </c>
      <c r="AG158" s="312" t="s">
        <v>2254</v>
      </c>
    </row>
    <row r="159" spans="1:33" x14ac:dyDescent="0.25">
      <c r="A159" s="429">
        <v>144</v>
      </c>
      <c r="B159" s="320" t="s">
        <v>768</v>
      </c>
      <c r="C159" s="321">
        <v>44596</v>
      </c>
      <c r="D159" s="319" t="s">
        <v>1179</v>
      </c>
      <c r="E159" s="319" t="s">
        <v>716</v>
      </c>
      <c r="F159" s="334">
        <v>960340000376</v>
      </c>
      <c r="G159" s="319" t="s">
        <v>780</v>
      </c>
      <c r="H159" s="337" t="s">
        <v>2166</v>
      </c>
      <c r="I159" s="328">
        <v>6818945553</v>
      </c>
      <c r="J159" s="325">
        <v>33535.279999999999</v>
      </c>
      <c r="N159" s="321">
        <v>44613</v>
      </c>
      <c r="O159" s="319">
        <v>308</v>
      </c>
      <c r="P159" s="310">
        <v>308</v>
      </c>
      <c r="Q159" s="319" t="s">
        <v>53</v>
      </c>
      <c r="R159" s="321">
        <v>44550</v>
      </c>
      <c r="S159" s="327">
        <v>45170</v>
      </c>
      <c r="T159" s="327"/>
      <c r="U159" s="327"/>
      <c r="V159" s="327"/>
      <c r="W159" s="327">
        <v>45160</v>
      </c>
      <c r="X159" s="324">
        <v>67879636</v>
      </c>
      <c r="Y159" s="324" t="s">
        <v>1109</v>
      </c>
      <c r="Z159" s="324">
        <v>6787963658</v>
      </c>
      <c r="AA159" s="327" t="s">
        <v>607</v>
      </c>
      <c r="AB159" s="322">
        <v>74</v>
      </c>
      <c r="AG159" s="312" t="s">
        <v>2254</v>
      </c>
    </row>
    <row r="160" spans="1:33" x14ac:dyDescent="0.25">
      <c r="A160" s="429">
        <v>145</v>
      </c>
      <c r="B160" s="320" t="s">
        <v>801</v>
      </c>
      <c r="C160" s="321">
        <v>44378</v>
      </c>
      <c r="D160" s="319" t="s">
        <v>753</v>
      </c>
      <c r="E160" s="319" t="s">
        <v>725</v>
      </c>
      <c r="F160" s="337" t="s">
        <v>2098</v>
      </c>
      <c r="G160" s="319" t="s">
        <v>726</v>
      </c>
      <c r="H160" s="337" t="s">
        <v>2176</v>
      </c>
      <c r="I160" s="328">
        <v>5041329922</v>
      </c>
      <c r="J160" s="325">
        <v>21860.5</v>
      </c>
      <c r="N160" s="321">
        <v>44392</v>
      </c>
      <c r="O160" s="319">
        <v>237</v>
      </c>
      <c r="P160" s="310">
        <v>237</v>
      </c>
      <c r="Q160" s="319">
        <v>17</v>
      </c>
      <c r="R160" s="321">
        <v>44341</v>
      </c>
      <c r="S160" s="327">
        <v>44982</v>
      </c>
      <c r="T160" s="327">
        <v>45071</v>
      </c>
      <c r="U160" s="327">
        <v>45163</v>
      </c>
      <c r="V160" s="327"/>
      <c r="W160" s="327">
        <v>45163</v>
      </c>
      <c r="X160" s="324">
        <v>49883864</v>
      </c>
      <c r="Y160" s="324" t="s">
        <v>631</v>
      </c>
      <c r="Z160" s="324">
        <v>4328616644</v>
      </c>
      <c r="AA160" s="327" t="s">
        <v>607</v>
      </c>
      <c r="AB160" s="322">
        <v>92</v>
      </c>
      <c r="AG160" s="312" t="s">
        <v>2254</v>
      </c>
    </row>
    <row r="161" spans="1:33" x14ac:dyDescent="0.25">
      <c r="A161" s="429">
        <v>146</v>
      </c>
      <c r="B161" s="320" t="s">
        <v>772</v>
      </c>
      <c r="C161" s="321">
        <v>44649</v>
      </c>
      <c r="D161" s="319" t="s">
        <v>174</v>
      </c>
      <c r="E161" s="319" t="s">
        <v>699</v>
      </c>
      <c r="F161" s="323" t="s">
        <v>1626</v>
      </c>
      <c r="G161" s="319" t="s">
        <v>700</v>
      </c>
      <c r="H161" s="337" t="s">
        <v>2131</v>
      </c>
      <c r="I161" s="328">
        <v>8250830654</v>
      </c>
      <c r="J161" s="325">
        <v>41968.4</v>
      </c>
      <c r="N161" s="321">
        <v>44664</v>
      </c>
      <c r="O161" s="319">
        <v>272</v>
      </c>
      <c r="P161" s="310">
        <v>272</v>
      </c>
      <c r="Q161" s="319" t="s">
        <v>433</v>
      </c>
      <c r="R161" s="321">
        <v>44512</v>
      </c>
      <c r="S161" s="327">
        <v>45119</v>
      </c>
      <c r="T161" s="327">
        <v>45211</v>
      </c>
      <c r="U161" s="327"/>
      <c r="V161" s="327"/>
      <c r="W161" s="327">
        <v>45194</v>
      </c>
      <c r="X161" s="324">
        <v>82508307</v>
      </c>
      <c r="Y161" s="324" t="s">
        <v>610</v>
      </c>
      <c r="Z161" s="324"/>
      <c r="AA161" s="327" t="s">
        <v>680</v>
      </c>
      <c r="AB161" s="322">
        <v>64</v>
      </c>
      <c r="AG161" s="312" t="s">
        <v>2254</v>
      </c>
    </row>
    <row r="162" spans="1:33" x14ac:dyDescent="0.25">
      <c r="A162" s="429">
        <v>147</v>
      </c>
      <c r="B162" s="320" t="s">
        <v>806</v>
      </c>
      <c r="C162" s="321">
        <v>44418</v>
      </c>
      <c r="D162" s="319" t="s">
        <v>1179</v>
      </c>
      <c r="E162" s="319" t="s">
        <v>731</v>
      </c>
      <c r="F162" s="337" t="s">
        <v>2084</v>
      </c>
      <c r="G162" s="319" t="s">
        <v>821</v>
      </c>
      <c r="H162" s="337" t="s">
        <v>2085</v>
      </c>
      <c r="I162" s="328">
        <v>6278976341</v>
      </c>
      <c r="J162" s="325">
        <v>34795.9</v>
      </c>
      <c r="N162" s="321">
        <v>44428</v>
      </c>
      <c r="O162" s="324">
        <v>312</v>
      </c>
      <c r="P162" s="310">
        <v>351</v>
      </c>
      <c r="Q162" s="319">
        <v>9</v>
      </c>
      <c r="R162" s="321">
        <v>44364</v>
      </c>
      <c r="S162" s="327">
        <v>44943</v>
      </c>
      <c r="T162" s="327">
        <v>45033</v>
      </c>
      <c r="U162" s="327">
        <v>45124</v>
      </c>
      <c r="V162" s="327">
        <v>45216</v>
      </c>
      <c r="W162" s="327">
        <v>45209</v>
      </c>
      <c r="X162" s="324">
        <v>53279028</v>
      </c>
      <c r="Y162" s="324" t="s">
        <v>637</v>
      </c>
      <c r="Z162" s="324">
        <v>4656873188</v>
      </c>
      <c r="AA162" s="327" t="s">
        <v>680</v>
      </c>
      <c r="AB162" s="322">
        <v>70</v>
      </c>
      <c r="AG162" s="312" t="s">
        <v>2254</v>
      </c>
    </row>
    <row r="163" spans="1:33" x14ac:dyDescent="0.25">
      <c r="A163" s="429">
        <v>148</v>
      </c>
      <c r="B163" s="320" t="s">
        <v>1711</v>
      </c>
      <c r="C163" s="321">
        <v>44740</v>
      </c>
      <c r="D163" s="319" t="s">
        <v>753</v>
      </c>
      <c r="E163" s="319" t="s">
        <v>792</v>
      </c>
      <c r="F163" s="337" t="s">
        <v>2087</v>
      </c>
      <c r="G163" s="319" t="s">
        <v>785</v>
      </c>
      <c r="H163" s="337" t="s">
        <v>2088</v>
      </c>
      <c r="I163" s="328">
        <v>17142923032</v>
      </c>
      <c r="J163" s="325">
        <v>31704.799999999999</v>
      </c>
      <c r="N163" s="321">
        <v>44805</v>
      </c>
      <c r="O163" s="319">
        <v>1034</v>
      </c>
      <c r="P163" s="310">
        <v>495</v>
      </c>
      <c r="Q163" s="319">
        <v>9</v>
      </c>
      <c r="R163" s="321">
        <v>44524</v>
      </c>
      <c r="S163" s="327">
        <v>45162</v>
      </c>
      <c r="T163" s="327">
        <v>45254</v>
      </c>
      <c r="U163" s="327"/>
      <c r="V163" s="327"/>
      <c r="W163" s="327">
        <v>44910</v>
      </c>
      <c r="X163" s="324">
        <v>141679213</v>
      </c>
      <c r="Y163" s="324" t="s">
        <v>1114</v>
      </c>
      <c r="Z163" s="324"/>
      <c r="AA163" s="327" t="s">
        <v>1549</v>
      </c>
      <c r="AB163" s="322">
        <v>83</v>
      </c>
      <c r="AG163" s="312" t="s">
        <v>2254</v>
      </c>
    </row>
    <row r="164" spans="1:33" x14ac:dyDescent="0.25">
      <c r="A164" s="429"/>
      <c r="B164" s="346" t="s">
        <v>1712</v>
      </c>
      <c r="C164" s="321">
        <v>44740</v>
      </c>
      <c r="D164" s="319" t="s">
        <v>753</v>
      </c>
      <c r="E164" s="319" t="s">
        <v>792</v>
      </c>
      <c r="F164" s="337" t="s">
        <v>2087</v>
      </c>
      <c r="G164" s="319" t="s">
        <v>785</v>
      </c>
      <c r="H164" s="337" t="s">
        <v>2088</v>
      </c>
      <c r="I164" s="328"/>
      <c r="J164" s="325">
        <f>38183.5-147.41</f>
        <v>38036.089999999997</v>
      </c>
      <c r="N164" s="321">
        <v>44805</v>
      </c>
      <c r="O164" s="319"/>
      <c r="P164" s="310">
        <v>594</v>
      </c>
      <c r="Q164" s="319"/>
      <c r="R164" s="321"/>
      <c r="S164" s="327"/>
      <c r="T164" s="327"/>
      <c r="U164" s="327"/>
      <c r="V164" s="327"/>
      <c r="W164" s="327">
        <v>45216</v>
      </c>
      <c r="X164" s="324"/>
      <c r="Y164" s="324"/>
      <c r="Z164" s="324"/>
      <c r="AA164" s="327"/>
      <c r="AB164" s="322"/>
      <c r="AG164" s="312" t="s">
        <v>2254</v>
      </c>
    </row>
    <row r="165" spans="1:33" x14ac:dyDescent="0.25">
      <c r="A165" s="429">
        <v>149</v>
      </c>
      <c r="B165" s="320" t="s">
        <v>1361</v>
      </c>
      <c r="C165" s="321">
        <v>44805</v>
      </c>
      <c r="D165" s="319" t="s">
        <v>1508</v>
      </c>
      <c r="E165" s="319" t="s">
        <v>889</v>
      </c>
      <c r="F165" s="411">
        <v>970540007997</v>
      </c>
      <c r="G165" s="319" t="s">
        <v>1079</v>
      </c>
      <c r="H165" s="337" t="s">
        <v>2146</v>
      </c>
      <c r="I165" s="328">
        <v>2220361349</v>
      </c>
      <c r="J165" s="325">
        <v>7495.49</v>
      </c>
      <c r="N165" s="321">
        <v>44817</v>
      </c>
      <c r="O165" s="319">
        <v>84</v>
      </c>
      <c r="P165" s="310">
        <v>84</v>
      </c>
      <c r="Q165" s="319">
        <v>12</v>
      </c>
      <c r="R165" s="321">
        <v>44720</v>
      </c>
      <c r="S165" s="327">
        <v>45084</v>
      </c>
      <c r="T165" s="327">
        <v>45176</v>
      </c>
      <c r="U165" s="327">
        <v>45267</v>
      </c>
      <c r="V165" s="327"/>
      <c r="W165" s="327">
        <v>45209</v>
      </c>
      <c r="X165" s="324">
        <v>22203613</v>
      </c>
      <c r="Y165" s="324" t="s">
        <v>1168</v>
      </c>
      <c r="Z165" s="324"/>
      <c r="AA165" s="327" t="s">
        <v>598</v>
      </c>
      <c r="AB165" s="322">
        <v>84</v>
      </c>
      <c r="AG165" s="312" t="s">
        <v>2254</v>
      </c>
    </row>
    <row r="166" spans="1:33" x14ac:dyDescent="0.25">
      <c r="A166" s="429">
        <v>150</v>
      </c>
      <c r="B166" s="320" t="s">
        <v>1156</v>
      </c>
      <c r="C166" s="321">
        <v>44868</v>
      </c>
      <c r="D166" s="319" t="s">
        <v>1508</v>
      </c>
      <c r="E166" s="319" t="s">
        <v>889</v>
      </c>
      <c r="F166" s="411">
        <v>970540007997</v>
      </c>
      <c r="G166" s="319" t="s">
        <v>1079</v>
      </c>
      <c r="H166" s="337" t="s">
        <v>2146</v>
      </c>
      <c r="I166" s="328">
        <v>3974338040</v>
      </c>
      <c r="J166" s="325">
        <v>13441.1</v>
      </c>
      <c r="N166" s="321">
        <v>44886</v>
      </c>
      <c r="O166" s="319">
        <v>132</v>
      </c>
      <c r="P166" s="310">
        <v>132</v>
      </c>
      <c r="Q166" s="319">
        <v>12</v>
      </c>
      <c r="R166" s="321">
        <v>44834</v>
      </c>
      <c r="S166" s="327">
        <v>45199</v>
      </c>
      <c r="T166" s="327">
        <v>45290</v>
      </c>
      <c r="U166" s="327"/>
      <c r="V166" s="327"/>
      <c r="W166" s="327">
        <v>45209</v>
      </c>
      <c r="X166" s="324">
        <v>39743380</v>
      </c>
      <c r="Y166" s="324" t="s">
        <v>1207</v>
      </c>
      <c r="Z166" s="324"/>
      <c r="AA166" s="327" t="s">
        <v>598</v>
      </c>
      <c r="AB166" s="322">
        <v>67</v>
      </c>
      <c r="AG166" s="312" t="s">
        <v>2254</v>
      </c>
    </row>
    <row r="167" spans="1:33" x14ac:dyDescent="0.25">
      <c r="A167" s="429">
        <v>151</v>
      </c>
      <c r="B167" s="320" t="s">
        <v>1158</v>
      </c>
      <c r="C167" s="321">
        <v>44868</v>
      </c>
      <c r="D167" s="319" t="s">
        <v>1508</v>
      </c>
      <c r="E167" s="319" t="s">
        <v>889</v>
      </c>
      <c r="F167" s="411">
        <v>970540007997</v>
      </c>
      <c r="G167" s="319" t="s">
        <v>1079</v>
      </c>
      <c r="H167" s="337" t="s">
        <v>2146</v>
      </c>
      <c r="I167" s="328">
        <v>4087535350</v>
      </c>
      <c r="J167" s="325">
        <v>13498.53</v>
      </c>
      <c r="N167" s="321">
        <v>44886</v>
      </c>
      <c r="O167" s="319">
        <v>144</v>
      </c>
      <c r="P167" s="310">
        <v>144</v>
      </c>
      <c r="Q167" s="319">
        <v>12</v>
      </c>
      <c r="R167" s="321">
        <v>44834</v>
      </c>
      <c r="S167" s="327">
        <v>45199</v>
      </c>
      <c r="T167" s="327">
        <v>45290</v>
      </c>
      <c r="U167" s="327"/>
      <c r="V167" s="327"/>
      <c r="W167" s="327">
        <v>45209</v>
      </c>
      <c r="X167" s="324">
        <v>40875353</v>
      </c>
      <c r="Y167" s="324" t="s">
        <v>1208</v>
      </c>
      <c r="Z167" s="324"/>
      <c r="AA167" s="327" t="s">
        <v>598</v>
      </c>
      <c r="AB167" s="322">
        <v>67</v>
      </c>
      <c r="AG167" s="312" t="s">
        <v>2254</v>
      </c>
    </row>
    <row r="168" spans="1:33" x14ac:dyDescent="0.25">
      <c r="A168" s="429">
        <v>152</v>
      </c>
      <c r="B168" s="320" t="s">
        <v>774</v>
      </c>
      <c r="C168" s="321">
        <v>44722</v>
      </c>
      <c r="D168" s="319" t="s">
        <v>753</v>
      </c>
      <c r="E168" s="319" t="s">
        <v>716</v>
      </c>
      <c r="F168" s="334">
        <v>960340000376</v>
      </c>
      <c r="G168" s="319" t="s">
        <v>782</v>
      </c>
      <c r="H168" s="337" t="s">
        <v>2142</v>
      </c>
      <c r="I168" s="328">
        <v>4456001883</v>
      </c>
      <c r="J168" s="325">
        <v>17166.599999999999</v>
      </c>
      <c r="N168" s="321">
        <v>44756</v>
      </c>
      <c r="O168" s="319">
        <v>275</v>
      </c>
      <c r="P168" s="310">
        <v>275</v>
      </c>
      <c r="Q168" s="319">
        <v>12</v>
      </c>
      <c r="R168" s="321">
        <v>44622</v>
      </c>
      <c r="S168" s="327">
        <v>45537</v>
      </c>
      <c r="T168" s="327"/>
      <c r="U168" s="327"/>
      <c r="V168" s="327"/>
      <c r="W168" s="327">
        <v>45171</v>
      </c>
      <c r="X168" s="324">
        <v>43638544</v>
      </c>
      <c r="Y168" s="324" t="s">
        <v>1111</v>
      </c>
      <c r="Z168" s="324"/>
      <c r="AA168" s="327" t="s">
        <v>598</v>
      </c>
      <c r="AB168" s="322">
        <v>74</v>
      </c>
      <c r="AG168" s="312" t="s">
        <v>2254</v>
      </c>
    </row>
    <row r="169" spans="1:33" x14ac:dyDescent="0.25">
      <c r="A169" s="429">
        <v>153</v>
      </c>
      <c r="B169" s="320" t="s">
        <v>773</v>
      </c>
      <c r="C169" s="321">
        <v>44679</v>
      </c>
      <c r="D169" s="319" t="s">
        <v>174</v>
      </c>
      <c r="E169" s="319" t="s">
        <v>702</v>
      </c>
      <c r="F169" s="323" t="s">
        <v>1639</v>
      </c>
      <c r="G169" s="319" t="s">
        <v>1689</v>
      </c>
      <c r="H169" s="337" t="s">
        <v>2130</v>
      </c>
      <c r="I169" s="328">
        <v>4953472942</v>
      </c>
      <c r="J169" s="325">
        <v>11900.4</v>
      </c>
      <c r="N169" s="321">
        <v>44711</v>
      </c>
      <c r="O169" s="319">
        <v>63</v>
      </c>
      <c r="P169" s="310">
        <v>79</v>
      </c>
      <c r="Q169" s="319">
        <v>10</v>
      </c>
      <c r="R169" s="321">
        <v>44602</v>
      </c>
      <c r="S169" s="327">
        <v>44967</v>
      </c>
      <c r="T169" s="327">
        <v>45056</v>
      </c>
      <c r="U169" s="327">
        <v>45148</v>
      </c>
      <c r="V169" s="327">
        <v>45240</v>
      </c>
      <c r="W169" s="327">
        <v>45233</v>
      </c>
      <c r="X169" s="324">
        <v>43762129</v>
      </c>
      <c r="Y169" s="324" t="s">
        <v>611</v>
      </c>
      <c r="Z169" s="324"/>
      <c r="AA169" s="327" t="s">
        <v>594</v>
      </c>
      <c r="AB169" s="322">
        <v>91</v>
      </c>
      <c r="AG169" s="312" t="s">
        <v>2254</v>
      </c>
    </row>
    <row r="170" spans="1:33" x14ac:dyDescent="0.25">
      <c r="A170" s="429">
        <v>154</v>
      </c>
      <c r="B170" s="320" t="s">
        <v>1660</v>
      </c>
      <c r="C170" s="321">
        <v>44722</v>
      </c>
      <c r="D170" s="319" t="s">
        <v>1179</v>
      </c>
      <c r="E170" s="319" t="s">
        <v>708</v>
      </c>
      <c r="F170" s="337" t="s">
        <v>2102</v>
      </c>
      <c r="G170" s="319" t="s">
        <v>709</v>
      </c>
      <c r="H170" s="337" t="s">
        <v>2132</v>
      </c>
      <c r="I170" s="328">
        <v>21841445585</v>
      </c>
      <c r="J170" s="325">
        <v>114093.4</v>
      </c>
      <c r="N170" s="321">
        <v>44764</v>
      </c>
      <c r="O170" s="319">
        <v>1040</v>
      </c>
      <c r="P170" s="310">
        <v>1040</v>
      </c>
      <c r="Q170" s="319">
        <v>9</v>
      </c>
      <c r="R170" s="321">
        <v>44526</v>
      </c>
      <c r="S170" s="327">
        <v>44983</v>
      </c>
      <c r="T170" s="327">
        <v>45072</v>
      </c>
      <c r="U170" s="327">
        <v>45164</v>
      </c>
      <c r="V170" s="327">
        <v>45256</v>
      </c>
      <c r="W170" s="327">
        <v>45250</v>
      </c>
      <c r="X170" s="324">
        <v>197200827</v>
      </c>
      <c r="Y170" s="324" t="s">
        <v>666</v>
      </c>
      <c r="Z170" s="324"/>
      <c r="AA170" s="327" t="s">
        <v>607</v>
      </c>
      <c r="AB170" s="322">
        <v>71</v>
      </c>
      <c r="AG170" s="312" t="s">
        <v>2254</v>
      </c>
    </row>
    <row r="171" spans="1:33" x14ac:dyDescent="0.25">
      <c r="A171" s="429">
        <v>155</v>
      </c>
      <c r="B171" s="320" t="s">
        <v>775</v>
      </c>
      <c r="C171" s="321">
        <v>44722</v>
      </c>
      <c r="D171" s="319" t="s">
        <v>753</v>
      </c>
      <c r="E171" s="319" t="s">
        <v>705</v>
      </c>
      <c r="F171" s="337" t="s">
        <v>2097</v>
      </c>
      <c r="G171" s="319" t="s">
        <v>784</v>
      </c>
      <c r="H171" s="337" t="s">
        <v>2143</v>
      </c>
      <c r="I171" s="328">
        <v>3490772674</v>
      </c>
      <c r="J171" s="325">
        <v>15830.1</v>
      </c>
      <c r="N171" s="321">
        <v>44757</v>
      </c>
      <c r="O171" s="319">
        <v>194</v>
      </c>
      <c r="P171" s="310">
        <v>194</v>
      </c>
      <c r="Q171" s="319">
        <v>9</v>
      </c>
      <c r="R171" s="321">
        <v>44656</v>
      </c>
      <c r="S171" s="327">
        <v>44962</v>
      </c>
      <c r="T171" s="327">
        <v>45051</v>
      </c>
      <c r="U171" s="327">
        <v>45143</v>
      </c>
      <c r="V171" s="327">
        <v>45235</v>
      </c>
      <c r="W171" s="327">
        <v>45219</v>
      </c>
      <c r="X171" s="324">
        <v>34907727</v>
      </c>
      <c r="Y171" s="324" t="s">
        <v>655</v>
      </c>
      <c r="Z171" s="324"/>
      <c r="AA171" s="327" t="s">
        <v>1312</v>
      </c>
      <c r="AB171" s="322">
        <v>86</v>
      </c>
      <c r="AG171" s="312" t="s">
        <v>2254</v>
      </c>
    </row>
    <row r="172" spans="1:33" x14ac:dyDescent="0.25">
      <c r="A172" s="429">
        <v>156</v>
      </c>
      <c r="B172" s="320" t="s">
        <v>1110</v>
      </c>
      <c r="C172" s="321">
        <v>44701</v>
      </c>
      <c r="D172" s="319" t="s">
        <v>759</v>
      </c>
      <c r="E172" s="319" t="s">
        <v>703</v>
      </c>
      <c r="F172" s="337" t="s">
        <v>2117</v>
      </c>
      <c r="G172" s="319" t="s">
        <v>2209</v>
      </c>
      <c r="H172" s="337" t="s">
        <v>2208</v>
      </c>
      <c r="I172" s="328">
        <v>3177473358</v>
      </c>
      <c r="J172" s="325">
        <v>17698.62</v>
      </c>
      <c r="N172" s="321">
        <v>44739</v>
      </c>
      <c r="O172" s="319">
        <v>233</v>
      </c>
      <c r="P172" s="310">
        <v>251</v>
      </c>
      <c r="Q172" s="319">
        <v>9</v>
      </c>
      <c r="R172" s="321">
        <v>44657</v>
      </c>
      <c r="S172" s="327">
        <v>44991</v>
      </c>
      <c r="T172" s="327">
        <v>45083</v>
      </c>
      <c r="U172" s="327">
        <v>45175</v>
      </c>
      <c r="V172" s="327">
        <v>45266</v>
      </c>
      <c r="W172" s="327">
        <v>45259</v>
      </c>
      <c r="X172" s="324">
        <v>27799968</v>
      </c>
      <c r="Y172" s="324" t="s">
        <v>612</v>
      </c>
      <c r="Z172" s="324"/>
      <c r="AA172" s="327" t="s">
        <v>1312</v>
      </c>
      <c r="AB172" s="322">
        <v>84</v>
      </c>
      <c r="AG172" s="312" t="s">
        <v>2254</v>
      </c>
    </row>
    <row r="173" spans="1:33" x14ac:dyDescent="0.25">
      <c r="A173" s="429">
        <v>157</v>
      </c>
      <c r="B173" s="320" t="s">
        <v>1190</v>
      </c>
      <c r="C173" s="321">
        <v>44880</v>
      </c>
      <c r="D173" s="319" t="s">
        <v>753</v>
      </c>
      <c r="E173" s="319" t="s">
        <v>716</v>
      </c>
      <c r="F173" s="334">
        <v>960340000376</v>
      </c>
      <c r="G173" s="319" t="s">
        <v>782</v>
      </c>
      <c r="H173" s="337" t="s">
        <v>2142</v>
      </c>
      <c r="I173" s="328">
        <v>4381913280</v>
      </c>
      <c r="J173" s="325">
        <v>17222.8</v>
      </c>
      <c r="N173" s="321">
        <v>44908</v>
      </c>
      <c r="O173" s="319">
        <v>264</v>
      </c>
      <c r="P173" s="310">
        <v>264</v>
      </c>
      <c r="Q173" s="319">
        <v>12</v>
      </c>
      <c r="R173" s="321">
        <v>44845</v>
      </c>
      <c r="S173" s="321">
        <v>45758</v>
      </c>
      <c r="T173" s="321"/>
      <c r="U173" s="319"/>
      <c r="V173" s="319"/>
      <c r="W173" s="327">
        <v>45260</v>
      </c>
      <c r="X173" s="324">
        <v>43387619</v>
      </c>
      <c r="Y173" s="319" t="s">
        <v>1244</v>
      </c>
      <c r="Z173" s="321"/>
      <c r="AA173" s="319" t="s">
        <v>1677</v>
      </c>
      <c r="AB173" s="319">
        <v>85</v>
      </c>
      <c r="AG173" s="312" t="s">
        <v>2254</v>
      </c>
    </row>
    <row r="174" spans="1:33" x14ac:dyDescent="0.25">
      <c r="A174" s="429">
        <v>158</v>
      </c>
      <c r="B174" s="320" t="s">
        <v>1102</v>
      </c>
      <c r="C174" s="321">
        <v>44502</v>
      </c>
      <c r="D174" s="319" t="s">
        <v>1179</v>
      </c>
      <c r="E174" s="319" t="s">
        <v>695</v>
      </c>
      <c r="F174" s="334">
        <v>960340000376</v>
      </c>
      <c r="G174" s="319" t="s">
        <v>816</v>
      </c>
      <c r="H174" s="337" t="s">
        <v>2186</v>
      </c>
      <c r="I174" s="328">
        <v>2164807770</v>
      </c>
      <c r="J174" s="332">
        <v>10312.19</v>
      </c>
      <c r="N174" s="321">
        <v>44517</v>
      </c>
      <c r="O174" s="319">
        <v>108</v>
      </c>
      <c r="P174" s="310">
        <v>108</v>
      </c>
      <c r="Q174" s="319">
        <v>10</v>
      </c>
      <c r="R174" s="321">
        <v>44446</v>
      </c>
      <c r="S174" s="321">
        <v>45208</v>
      </c>
      <c r="T174" s="321">
        <v>45300</v>
      </c>
      <c r="U174" s="319"/>
      <c r="V174" s="319"/>
      <c r="W174" s="321">
        <v>45271</v>
      </c>
      <c r="X174" s="324">
        <v>21145928</v>
      </c>
      <c r="Y174" s="319" t="s">
        <v>1103</v>
      </c>
      <c r="Z174" s="324">
        <v>1766621826</v>
      </c>
      <c r="AA174" s="319" t="s">
        <v>607</v>
      </c>
      <c r="AB174" s="319">
        <v>74</v>
      </c>
      <c r="AG174" s="312" t="s">
        <v>2254</v>
      </c>
    </row>
    <row r="175" spans="1:33" x14ac:dyDescent="0.25">
      <c r="A175" s="429">
        <v>159</v>
      </c>
      <c r="B175" s="320" t="s">
        <v>1281</v>
      </c>
      <c r="C175" s="321">
        <v>45015</v>
      </c>
      <c r="D175" s="319" t="s">
        <v>174</v>
      </c>
      <c r="E175" s="319" t="s">
        <v>702</v>
      </c>
      <c r="F175" s="323" t="s">
        <v>1639</v>
      </c>
      <c r="G175" s="319" t="s">
        <v>684</v>
      </c>
      <c r="H175" s="337" t="s">
        <v>1968</v>
      </c>
      <c r="I175" s="328">
        <v>4285521044</v>
      </c>
      <c r="J175" s="332">
        <v>14689.76</v>
      </c>
      <c r="N175" s="321">
        <v>45035</v>
      </c>
      <c r="O175" s="319">
        <v>120</v>
      </c>
      <c r="P175" s="310">
        <v>120</v>
      </c>
      <c r="Q175" s="319">
        <v>5</v>
      </c>
      <c r="R175" s="321">
        <v>44812</v>
      </c>
      <c r="S175" s="321">
        <v>45115</v>
      </c>
      <c r="T175" s="321">
        <v>45207</v>
      </c>
      <c r="U175" s="321">
        <v>45299</v>
      </c>
      <c r="V175" s="319"/>
      <c r="W175" s="321">
        <v>45286</v>
      </c>
      <c r="X175" s="324">
        <v>24302624</v>
      </c>
      <c r="Y175" s="319" t="s">
        <v>1409</v>
      </c>
      <c r="Z175" s="324"/>
      <c r="AA175" s="319" t="s">
        <v>594</v>
      </c>
      <c r="AB175" s="319">
        <v>93</v>
      </c>
      <c r="AG175" s="312" t="s">
        <v>2254</v>
      </c>
    </row>
    <row r="176" spans="1:33" x14ac:dyDescent="0.25">
      <c r="A176" s="429">
        <v>160</v>
      </c>
      <c r="B176" s="320" t="s">
        <v>813</v>
      </c>
      <c r="C176" s="321">
        <v>44483</v>
      </c>
      <c r="D176" s="319" t="s">
        <v>753</v>
      </c>
      <c r="E176" s="319" t="s">
        <v>705</v>
      </c>
      <c r="F176" s="337" t="s">
        <v>2097</v>
      </c>
      <c r="G176" s="319" t="s">
        <v>2137</v>
      </c>
      <c r="H176" s="337" t="s">
        <v>2138</v>
      </c>
      <c r="I176" s="328">
        <v>4541697006</v>
      </c>
      <c r="J176" s="332">
        <v>18802</v>
      </c>
      <c r="N176" s="321">
        <v>44491</v>
      </c>
      <c r="O176" s="319">
        <v>132</v>
      </c>
      <c r="P176" s="310">
        <v>132</v>
      </c>
      <c r="Q176" s="319">
        <v>12</v>
      </c>
      <c r="R176" s="321">
        <v>44407</v>
      </c>
      <c r="S176" s="321">
        <v>44986</v>
      </c>
      <c r="T176" s="321">
        <v>45078</v>
      </c>
      <c r="U176" s="321">
        <v>45170</v>
      </c>
      <c r="V176" s="321">
        <v>45261</v>
      </c>
      <c r="W176" s="321">
        <v>45260</v>
      </c>
      <c r="X176" s="324">
        <v>45416970</v>
      </c>
      <c r="Y176" s="319" t="s">
        <v>646</v>
      </c>
      <c r="Z176" s="324"/>
      <c r="AA176" s="319" t="s">
        <v>669</v>
      </c>
      <c r="AB176" s="319">
        <v>93</v>
      </c>
      <c r="AG176" s="312" t="s">
        <v>2254</v>
      </c>
    </row>
    <row r="177" spans="1:33" x14ac:dyDescent="0.25">
      <c r="A177" s="429">
        <v>161</v>
      </c>
      <c r="B177" s="320" t="s">
        <v>1170</v>
      </c>
      <c r="C177" s="321">
        <v>44908</v>
      </c>
      <c r="D177" s="319" t="s">
        <v>1179</v>
      </c>
      <c r="E177" s="319" t="s">
        <v>716</v>
      </c>
      <c r="F177" s="334">
        <v>960340000376</v>
      </c>
      <c r="G177" s="319" t="s">
        <v>823</v>
      </c>
      <c r="H177" s="337" t="s">
        <v>2141</v>
      </c>
      <c r="I177" s="328">
        <v>3784768129</v>
      </c>
      <c r="J177" s="332">
        <v>16117.54</v>
      </c>
      <c r="N177" s="321">
        <v>44939</v>
      </c>
      <c r="O177" s="319">
        <v>118</v>
      </c>
      <c r="P177" s="310">
        <v>118</v>
      </c>
      <c r="Q177" s="319" t="s">
        <v>304</v>
      </c>
      <c r="R177" s="321">
        <v>44819</v>
      </c>
      <c r="S177" s="321">
        <v>45458</v>
      </c>
      <c r="T177" s="321"/>
      <c r="U177" s="321"/>
      <c r="V177" s="321"/>
      <c r="W177" s="321">
        <v>45280</v>
      </c>
      <c r="X177" s="324">
        <v>31719713</v>
      </c>
      <c r="Y177" s="319" t="s">
        <v>1665</v>
      </c>
      <c r="Z177" s="324"/>
      <c r="AA177" s="319" t="s">
        <v>669</v>
      </c>
      <c r="AB177" s="319">
        <v>85</v>
      </c>
      <c r="AG177" s="312" t="s">
        <v>2254</v>
      </c>
    </row>
    <row r="178" spans="1:33" x14ac:dyDescent="0.25">
      <c r="A178" s="429"/>
      <c r="B178" s="346" t="s">
        <v>1722</v>
      </c>
      <c r="C178" s="321">
        <v>44504</v>
      </c>
      <c r="D178" s="319" t="s">
        <v>753</v>
      </c>
      <c r="E178" s="319" t="s">
        <v>792</v>
      </c>
      <c r="F178" s="337" t="s">
        <v>2087</v>
      </c>
      <c r="G178" s="319" t="s">
        <v>826</v>
      </c>
      <c r="H178" s="337" t="s">
        <v>2089</v>
      </c>
      <c r="I178" s="328"/>
      <c r="J178" s="332">
        <v>7512.7</v>
      </c>
      <c r="N178" s="321">
        <v>44516</v>
      </c>
      <c r="O178" s="319">
        <v>94</v>
      </c>
      <c r="P178" s="310">
        <v>99</v>
      </c>
      <c r="Q178" s="319">
        <v>9</v>
      </c>
      <c r="R178" s="321">
        <v>44391</v>
      </c>
      <c r="S178" s="321">
        <v>44530</v>
      </c>
      <c r="T178" s="321"/>
      <c r="U178" s="321"/>
      <c r="V178" s="321"/>
      <c r="W178" s="321">
        <v>44530</v>
      </c>
      <c r="X178" s="324"/>
      <c r="Y178" s="319" t="s">
        <v>652</v>
      </c>
      <c r="Z178" s="324"/>
      <c r="AA178" s="319" t="s">
        <v>1549</v>
      </c>
      <c r="AB178" s="319">
        <v>83</v>
      </c>
      <c r="AG178" s="312" t="s">
        <v>2254</v>
      </c>
    </row>
    <row r="179" spans="1:33" x14ac:dyDescent="0.25">
      <c r="A179" s="429"/>
      <c r="B179" s="346" t="s">
        <v>1723</v>
      </c>
      <c r="C179" s="321">
        <v>44504</v>
      </c>
      <c r="D179" s="319" t="s">
        <v>753</v>
      </c>
      <c r="E179" s="319" t="s">
        <v>792</v>
      </c>
      <c r="F179" s="337" t="s">
        <v>2087</v>
      </c>
      <c r="G179" s="319" t="s">
        <v>826</v>
      </c>
      <c r="H179" s="337" t="s">
        <v>2089</v>
      </c>
      <c r="I179" s="328"/>
      <c r="J179" s="332">
        <v>17704.599999999999</v>
      </c>
      <c r="N179" s="321">
        <v>44516</v>
      </c>
      <c r="O179" s="319">
        <v>282</v>
      </c>
      <c r="P179" s="310">
        <v>282</v>
      </c>
      <c r="Q179" s="319">
        <v>9</v>
      </c>
      <c r="R179" s="321">
        <v>44391</v>
      </c>
      <c r="S179" s="321">
        <v>44813</v>
      </c>
      <c r="T179" s="321"/>
      <c r="U179" s="321"/>
      <c r="V179" s="321"/>
      <c r="W179" s="321">
        <v>44813</v>
      </c>
      <c r="X179" s="324"/>
      <c r="Y179" s="319" t="s">
        <v>652</v>
      </c>
      <c r="Z179" s="324"/>
      <c r="AA179" s="319" t="s">
        <v>1549</v>
      </c>
      <c r="AB179" s="319">
        <v>83</v>
      </c>
      <c r="AG179" s="312" t="s">
        <v>2254</v>
      </c>
    </row>
    <row r="180" spans="1:33" x14ac:dyDescent="0.25">
      <c r="A180" s="429"/>
      <c r="B180" s="346" t="s">
        <v>1724</v>
      </c>
      <c r="C180" s="321">
        <v>44504</v>
      </c>
      <c r="D180" s="319" t="s">
        <v>753</v>
      </c>
      <c r="E180" s="319" t="s">
        <v>792</v>
      </c>
      <c r="F180" s="337" t="s">
        <v>2087</v>
      </c>
      <c r="G180" s="319" t="s">
        <v>826</v>
      </c>
      <c r="H180" s="337" t="s">
        <v>2089</v>
      </c>
      <c r="I180" s="328"/>
      <c r="J180" s="332">
        <v>38111.4</v>
      </c>
      <c r="N180" s="321">
        <v>44516</v>
      </c>
      <c r="O180" s="319">
        <v>564</v>
      </c>
      <c r="P180" s="310">
        <v>564</v>
      </c>
      <c r="Q180" s="319">
        <v>9</v>
      </c>
      <c r="R180" s="321">
        <v>44391</v>
      </c>
      <c r="S180" s="321">
        <v>45259</v>
      </c>
      <c r="T180" s="321"/>
      <c r="U180" s="321"/>
      <c r="V180" s="321"/>
      <c r="W180" s="321">
        <v>45259</v>
      </c>
      <c r="X180" s="324"/>
      <c r="Y180" s="319" t="s">
        <v>652</v>
      </c>
      <c r="Z180" s="324"/>
      <c r="AA180" s="319" t="s">
        <v>1549</v>
      </c>
      <c r="AB180" s="319">
        <v>83</v>
      </c>
      <c r="AG180" s="312" t="s">
        <v>2254</v>
      </c>
    </row>
    <row r="181" spans="1:33" x14ac:dyDescent="0.25">
      <c r="A181" s="429">
        <v>162</v>
      </c>
      <c r="B181" s="320" t="s">
        <v>766</v>
      </c>
      <c r="C181" s="321">
        <v>44588</v>
      </c>
      <c r="D181" s="319" t="s">
        <v>174</v>
      </c>
      <c r="E181" s="319" t="s">
        <v>693</v>
      </c>
      <c r="F181" s="337" t="s">
        <v>1643</v>
      </c>
      <c r="G181" s="319" t="s">
        <v>694</v>
      </c>
      <c r="H181" s="337" t="s">
        <v>1676</v>
      </c>
      <c r="I181" s="328">
        <v>9298035436</v>
      </c>
      <c r="J181" s="332">
        <v>30052.3</v>
      </c>
      <c r="N181" s="321">
        <v>44603</v>
      </c>
      <c r="O181" s="319">
        <v>280</v>
      </c>
      <c r="P181" s="310">
        <v>274</v>
      </c>
      <c r="Q181" s="319">
        <v>9</v>
      </c>
      <c r="R181" s="321">
        <v>44551</v>
      </c>
      <c r="S181" s="321">
        <v>45067</v>
      </c>
      <c r="T181" s="321">
        <v>45159</v>
      </c>
      <c r="U181" s="321">
        <v>45251</v>
      </c>
      <c r="V181" s="321">
        <v>45343</v>
      </c>
      <c r="W181" s="321">
        <v>45338</v>
      </c>
      <c r="X181" s="324">
        <v>92980354</v>
      </c>
      <c r="Y181" s="319" t="s">
        <v>606</v>
      </c>
      <c r="Z181" s="324"/>
      <c r="AA181" s="319" t="s">
        <v>594</v>
      </c>
      <c r="AB181" s="319">
        <v>88</v>
      </c>
      <c r="AG181" s="312" t="s">
        <v>2254</v>
      </c>
    </row>
    <row r="182" spans="1:33" x14ac:dyDescent="0.25">
      <c r="A182" s="429">
        <v>163</v>
      </c>
      <c r="B182" s="320" t="s">
        <v>1449</v>
      </c>
      <c r="C182" s="321">
        <v>44978</v>
      </c>
      <c r="D182" s="319" t="s">
        <v>2073</v>
      </c>
      <c r="E182" s="319" t="s">
        <v>706</v>
      </c>
      <c r="F182" s="337" t="s">
        <v>2064</v>
      </c>
      <c r="G182" s="319" t="s">
        <v>707</v>
      </c>
      <c r="H182" s="337" t="s">
        <v>2086</v>
      </c>
      <c r="I182" s="328">
        <v>1082543056</v>
      </c>
      <c r="J182" s="332">
        <v>4089.3</v>
      </c>
      <c r="N182" s="321">
        <v>44999</v>
      </c>
      <c r="O182" s="319">
        <v>58</v>
      </c>
      <c r="P182" s="310">
        <f>O182</f>
        <v>58</v>
      </c>
      <c r="Q182" s="319">
        <v>5</v>
      </c>
      <c r="R182" s="321">
        <v>44866</v>
      </c>
      <c r="S182" s="321">
        <v>45170</v>
      </c>
      <c r="T182" s="321">
        <v>45261</v>
      </c>
      <c r="U182" s="321"/>
      <c r="V182" s="321"/>
      <c r="W182" s="321">
        <v>45229</v>
      </c>
      <c r="X182" s="324">
        <v>46686917</v>
      </c>
      <c r="Y182" s="319" t="s">
        <v>1360</v>
      </c>
      <c r="Z182" s="324"/>
      <c r="AA182" s="319" t="s">
        <v>599</v>
      </c>
      <c r="AB182" s="319">
        <v>93</v>
      </c>
      <c r="AG182" s="312" t="s">
        <v>2254</v>
      </c>
    </row>
    <row r="183" spans="1:33" x14ac:dyDescent="0.25">
      <c r="A183" s="429">
        <v>164</v>
      </c>
      <c r="B183" s="320" t="s">
        <v>1238</v>
      </c>
      <c r="C183" s="321">
        <v>44908</v>
      </c>
      <c r="D183" s="319" t="s">
        <v>174</v>
      </c>
      <c r="E183" s="321" t="s">
        <v>699</v>
      </c>
      <c r="F183" s="323" t="s">
        <v>1626</v>
      </c>
      <c r="G183" s="319" t="s">
        <v>1193</v>
      </c>
      <c r="H183" s="337" t="s">
        <v>2163</v>
      </c>
      <c r="I183" s="324">
        <v>2088288586</v>
      </c>
      <c r="J183" s="325">
        <v>7695.6</v>
      </c>
      <c r="N183" s="321">
        <v>44938</v>
      </c>
      <c r="O183" s="324">
        <v>42</v>
      </c>
      <c r="P183" s="310">
        <v>42</v>
      </c>
      <c r="Q183" s="319">
        <v>8</v>
      </c>
      <c r="R183" s="321">
        <v>44872</v>
      </c>
      <c r="S183" s="321">
        <v>45145</v>
      </c>
      <c r="T183" s="321">
        <v>45237</v>
      </c>
      <c r="U183" s="321">
        <v>45329</v>
      </c>
      <c r="V183" s="321"/>
      <c r="W183" s="321">
        <v>45315</v>
      </c>
      <c r="X183" s="328">
        <v>18802318.609999999</v>
      </c>
      <c r="Y183" s="321" t="s">
        <v>1288</v>
      </c>
      <c r="Z183" s="324"/>
      <c r="AA183" s="327" t="s">
        <v>680</v>
      </c>
      <c r="AB183" s="328">
        <v>70</v>
      </c>
      <c r="AG183" s="312" t="s">
        <v>2254</v>
      </c>
    </row>
    <row r="184" spans="1:33" x14ac:dyDescent="0.25">
      <c r="A184" s="429"/>
      <c r="B184" s="464" t="s">
        <v>1350</v>
      </c>
      <c r="C184" s="321">
        <v>44455</v>
      </c>
      <c r="D184" s="319" t="s">
        <v>753</v>
      </c>
      <c r="E184" s="322" t="s">
        <v>734</v>
      </c>
      <c r="F184" s="337" t="s">
        <v>2098</v>
      </c>
      <c r="G184" s="322" t="s">
        <v>1547</v>
      </c>
      <c r="H184" s="337" t="s">
        <v>2152</v>
      </c>
      <c r="I184" s="324">
        <v>5388524240</v>
      </c>
      <c r="J184" s="325">
        <v>20406.78</v>
      </c>
      <c r="N184" s="327">
        <v>44463</v>
      </c>
      <c r="O184" s="324">
        <v>206</v>
      </c>
      <c r="P184" s="310">
        <v>206</v>
      </c>
      <c r="Q184" s="319">
        <v>12</v>
      </c>
      <c r="R184" s="327">
        <v>44743</v>
      </c>
      <c r="S184" s="327">
        <v>45505</v>
      </c>
      <c r="T184" s="321"/>
      <c r="U184" s="321"/>
      <c r="V184" s="321"/>
      <c r="W184" s="321">
        <v>45334</v>
      </c>
      <c r="X184" s="324">
        <v>133097925</v>
      </c>
      <c r="Y184" s="327" t="s">
        <v>631</v>
      </c>
      <c r="Z184" s="324"/>
      <c r="AA184" s="327" t="s">
        <v>607</v>
      </c>
      <c r="AB184" s="328">
        <v>92</v>
      </c>
      <c r="AG184" s="312" t="s">
        <v>2254</v>
      </c>
    </row>
    <row r="185" spans="1:33" x14ac:dyDescent="0.25">
      <c r="A185" s="429"/>
      <c r="B185" s="346" t="s">
        <v>2248</v>
      </c>
      <c r="C185" s="321">
        <v>44957</v>
      </c>
      <c r="D185" s="319" t="s">
        <v>753</v>
      </c>
      <c r="E185" s="322" t="s">
        <v>734</v>
      </c>
      <c r="F185" s="337" t="s">
        <v>2098</v>
      </c>
      <c r="G185" s="322" t="s">
        <v>1547</v>
      </c>
      <c r="H185" s="337" t="s">
        <v>2152</v>
      </c>
      <c r="I185" s="324">
        <v>1411872653</v>
      </c>
      <c r="J185" s="325">
        <v>0</v>
      </c>
      <c r="N185" s="321">
        <v>44971</v>
      </c>
      <c r="O185" s="238"/>
      <c r="P185" s="310">
        <v>0</v>
      </c>
      <c r="Q185" s="319">
        <v>0</v>
      </c>
      <c r="R185" s="321">
        <f>R184</f>
        <v>44743</v>
      </c>
      <c r="S185" s="327">
        <v>45505</v>
      </c>
      <c r="T185" s="321"/>
      <c r="U185" s="321"/>
      <c r="V185" s="321"/>
      <c r="W185" s="321">
        <v>45334</v>
      </c>
      <c r="X185" s="328">
        <v>14118727</v>
      </c>
      <c r="Y185" s="327" t="s">
        <v>1323</v>
      </c>
      <c r="Z185" s="324"/>
      <c r="AA185" s="327" t="s">
        <v>607</v>
      </c>
      <c r="AB185" s="328">
        <v>92</v>
      </c>
      <c r="AG185" s="312" t="s">
        <v>2254</v>
      </c>
    </row>
    <row r="186" spans="1:33" x14ac:dyDescent="0.25">
      <c r="A186" s="429">
        <v>165</v>
      </c>
      <c r="B186" s="320" t="s">
        <v>778</v>
      </c>
      <c r="C186" s="321">
        <v>44749</v>
      </c>
      <c r="D186" s="319" t="s">
        <v>1179</v>
      </c>
      <c r="E186" s="319" t="s">
        <v>712</v>
      </c>
      <c r="F186" s="409" t="s">
        <v>1640</v>
      </c>
      <c r="G186" s="319" t="s">
        <v>787</v>
      </c>
      <c r="H186" s="337" t="s">
        <v>1716</v>
      </c>
      <c r="I186" s="324">
        <v>6103216757</v>
      </c>
      <c r="J186" s="325">
        <v>21572.37</v>
      </c>
      <c r="N186" s="321">
        <v>44784</v>
      </c>
      <c r="O186" s="328">
        <v>300</v>
      </c>
      <c r="P186" s="328">
        <v>300</v>
      </c>
      <c r="Q186" s="319" t="s">
        <v>491</v>
      </c>
      <c r="R186" s="321">
        <v>44666</v>
      </c>
      <c r="S186" s="321">
        <v>45061</v>
      </c>
      <c r="T186" s="321">
        <v>45153</v>
      </c>
      <c r="U186" s="321">
        <v>45245</v>
      </c>
      <c r="V186" s="321">
        <v>45337</v>
      </c>
      <c r="W186" s="321">
        <v>45335</v>
      </c>
      <c r="X186" s="328">
        <v>47640147</v>
      </c>
      <c r="Y186" s="321" t="s">
        <v>672</v>
      </c>
      <c r="Z186" s="324"/>
      <c r="AA186" s="327" t="s">
        <v>599</v>
      </c>
      <c r="AB186" s="328">
        <v>72</v>
      </c>
      <c r="AG186" s="312" t="s">
        <v>2254</v>
      </c>
    </row>
    <row r="187" spans="1:33" x14ac:dyDescent="0.25">
      <c r="A187" s="429">
        <v>166</v>
      </c>
      <c r="B187" s="320" t="s">
        <v>1729</v>
      </c>
      <c r="C187" s="321">
        <v>44722</v>
      </c>
      <c r="D187" s="319" t="s">
        <v>1179</v>
      </c>
      <c r="E187" s="322" t="s">
        <v>716</v>
      </c>
      <c r="F187" s="334">
        <v>960340000376</v>
      </c>
      <c r="G187" s="319" t="s">
        <v>717</v>
      </c>
      <c r="H187" s="337" t="s">
        <v>1967</v>
      </c>
      <c r="I187" s="324">
        <v>5572491510</v>
      </c>
      <c r="J187" s="325">
        <v>28746.6</v>
      </c>
      <c r="N187" s="321">
        <v>44797</v>
      </c>
      <c r="O187" s="324">
        <v>244</v>
      </c>
      <c r="P187" s="328">
        <v>244</v>
      </c>
      <c r="Q187" s="319" t="s">
        <v>473</v>
      </c>
      <c r="R187" s="321">
        <v>44582</v>
      </c>
      <c r="S187" s="321">
        <v>45281</v>
      </c>
      <c r="T187" s="321">
        <v>45372</v>
      </c>
      <c r="U187" s="321"/>
      <c r="V187" s="321"/>
      <c r="W187" s="321">
        <v>45370</v>
      </c>
      <c r="X187" s="324">
        <v>55468877</v>
      </c>
      <c r="Y187" s="327" t="s">
        <v>1113</v>
      </c>
      <c r="Z187" s="324"/>
      <c r="AA187" s="327" t="s">
        <v>1550</v>
      </c>
      <c r="AB187" s="324">
        <v>74</v>
      </c>
      <c r="AG187" s="312" t="s">
        <v>2254</v>
      </c>
    </row>
    <row r="188" spans="1:33" x14ac:dyDescent="0.25">
      <c r="A188" s="429">
        <v>167</v>
      </c>
      <c r="B188" s="320" t="s">
        <v>1112</v>
      </c>
      <c r="C188" s="321">
        <v>44761</v>
      </c>
      <c r="D188" s="319" t="s">
        <v>753</v>
      </c>
      <c r="E188" s="319" t="s">
        <v>705</v>
      </c>
      <c r="F188" s="337" t="s">
        <v>2097</v>
      </c>
      <c r="G188" s="319" t="s">
        <v>788</v>
      </c>
      <c r="H188" s="337" t="s">
        <v>2184</v>
      </c>
      <c r="I188" s="324">
        <v>3685655518</v>
      </c>
      <c r="J188" s="332">
        <v>12908</v>
      </c>
      <c r="N188" s="321">
        <v>44790</v>
      </c>
      <c r="O188" s="328">
        <v>143</v>
      </c>
      <c r="P188" s="328">
        <v>143</v>
      </c>
      <c r="Q188" s="319">
        <v>7.9</v>
      </c>
      <c r="R188" s="321">
        <v>44734</v>
      </c>
      <c r="S188" s="321">
        <v>45038</v>
      </c>
      <c r="T188" s="321">
        <v>45129</v>
      </c>
      <c r="U188" s="321">
        <v>45221</v>
      </c>
      <c r="V188" s="321">
        <v>45313</v>
      </c>
      <c r="W188" s="321">
        <v>45301</v>
      </c>
      <c r="X188" s="328" t="s">
        <v>1209</v>
      </c>
      <c r="Y188" s="321" t="s">
        <v>750</v>
      </c>
      <c r="Z188" s="324"/>
      <c r="AA188" s="327" t="s">
        <v>1312</v>
      </c>
      <c r="AB188" s="324">
        <v>86</v>
      </c>
      <c r="AG188" s="312" t="s">
        <v>2254</v>
      </c>
    </row>
    <row r="189" spans="1:33" x14ac:dyDescent="0.25">
      <c r="A189" s="429">
        <v>168</v>
      </c>
      <c r="B189" s="320" t="s">
        <v>1524</v>
      </c>
      <c r="C189" s="321">
        <v>44894</v>
      </c>
      <c r="D189" s="319" t="s">
        <v>1179</v>
      </c>
      <c r="E189" s="322" t="s">
        <v>716</v>
      </c>
      <c r="F189" s="334">
        <v>960340000376</v>
      </c>
      <c r="G189" s="319" t="s">
        <v>816</v>
      </c>
      <c r="H189" s="337" t="s">
        <v>2186</v>
      </c>
      <c r="I189" s="324">
        <v>2199757682</v>
      </c>
      <c r="J189" s="332">
        <v>9055.4</v>
      </c>
      <c r="N189" s="321">
        <v>44917</v>
      </c>
      <c r="O189" s="324">
        <v>89</v>
      </c>
      <c r="P189" s="324">
        <v>89</v>
      </c>
      <c r="Q189" s="319">
        <v>8.1</v>
      </c>
      <c r="R189" s="321">
        <v>44852</v>
      </c>
      <c r="S189" s="321">
        <v>45248</v>
      </c>
      <c r="T189" s="321">
        <v>45340</v>
      </c>
      <c r="U189" s="321">
        <v>45430</v>
      </c>
      <c r="V189" s="328"/>
      <c r="W189" s="321">
        <v>45428</v>
      </c>
      <c r="X189" s="328">
        <v>19820402</v>
      </c>
      <c r="Y189" s="327" t="s">
        <v>1264</v>
      </c>
      <c r="Z189" s="324"/>
      <c r="AA189" s="327" t="s">
        <v>607</v>
      </c>
      <c r="AB189" s="324">
        <v>85</v>
      </c>
      <c r="AG189" s="312" t="s">
        <v>2254</v>
      </c>
    </row>
    <row r="190" spans="1:33" x14ac:dyDescent="0.25">
      <c r="A190" s="429">
        <v>169</v>
      </c>
      <c r="B190" s="320" t="s">
        <v>1561</v>
      </c>
      <c r="C190" s="321">
        <v>45083</v>
      </c>
      <c r="D190" s="319" t="s">
        <v>1179</v>
      </c>
      <c r="E190" s="319" t="s">
        <v>791</v>
      </c>
      <c r="F190" s="337" t="s">
        <v>1621</v>
      </c>
      <c r="G190" s="319" t="s">
        <v>1678</v>
      </c>
      <c r="H190" s="337" t="s">
        <v>1624</v>
      </c>
      <c r="I190" s="328">
        <v>8484559525</v>
      </c>
      <c r="J190" s="332">
        <v>22720.11</v>
      </c>
      <c r="N190" s="327">
        <v>45103</v>
      </c>
      <c r="O190" s="319">
        <v>405</v>
      </c>
      <c r="P190" s="310">
        <v>405</v>
      </c>
      <c r="Q190" s="319">
        <v>17</v>
      </c>
      <c r="R190" s="321">
        <v>45041</v>
      </c>
      <c r="S190" s="321">
        <v>45316</v>
      </c>
      <c r="T190" s="321">
        <v>45407</v>
      </c>
      <c r="U190" s="321"/>
      <c r="V190" s="328"/>
      <c r="W190" s="321">
        <v>45383</v>
      </c>
      <c r="X190" s="328">
        <v>84145617</v>
      </c>
      <c r="Y190" s="321" t="s">
        <v>1510</v>
      </c>
      <c r="Z190" s="324"/>
      <c r="AA190" s="327" t="s">
        <v>1549</v>
      </c>
      <c r="AB190" s="328">
        <v>92</v>
      </c>
      <c r="AG190" s="312" t="s">
        <v>2254</v>
      </c>
    </row>
    <row r="191" spans="1:33" x14ac:dyDescent="0.25">
      <c r="A191" s="429">
        <v>170</v>
      </c>
      <c r="B191" s="320" t="s">
        <v>1176</v>
      </c>
      <c r="C191" s="321">
        <v>44873</v>
      </c>
      <c r="D191" s="319" t="s">
        <v>1179</v>
      </c>
      <c r="E191" s="321" t="s">
        <v>708</v>
      </c>
      <c r="F191" s="337" t="s">
        <v>2102</v>
      </c>
      <c r="G191" s="319" t="s">
        <v>1201</v>
      </c>
      <c r="H191" s="337" t="s">
        <v>2133</v>
      </c>
      <c r="I191" s="324">
        <v>4938141318</v>
      </c>
      <c r="J191" s="325">
        <v>12617.66</v>
      </c>
      <c r="N191" s="327">
        <v>44896</v>
      </c>
      <c r="O191" s="324">
        <v>142</v>
      </c>
      <c r="P191" s="324">
        <v>142</v>
      </c>
      <c r="Q191" s="319" t="s">
        <v>156</v>
      </c>
      <c r="R191" s="321">
        <v>44799</v>
      </c>
      <c r="S191" s="321">
        <v>45438</v>
      </c>
      <c r="T191" s="321">
        <v>45256</v>
      </c>
      <c r="U191" s="321">
        <v>45348</v>
      </c>
      <c r="V191" s="321">
        <v>45438</v>
      </c>
      <c r="W191" s="321">
        <v>45428</v>
      </c>
      <c r="X191" s="328">
        <v>45788786</v>
      </c>
      <c r="Y191" s="321" t="s">
        <v>1218</v>
      </c>
      <c r="Z191" s="324"/>
      <c r="AA191" s="327" t="s">
        <v>607</v>
      </c>
      <c r="AB191" s="328">
        <v>69</v>
      </c>
      <c r="AG191" s="312" t="s">
        <v>2254</v>
      </c>
    </row>
    <row r="192" spans="1:33" x14ac:dyDescent="0.25">
      <c r="A192" s="429">
        <v>171</v>
      </c>
      <c r="B192" s="320" t="s">
        <v>1599</v>
      </c>
      <c r="C192" s="321">
        <v>44504</v>
      </c>
      <c r="D192" s="319" t="s">
        <v>753</v>
      </c>
      <c r="E192" s="319" t="s">
        <v>792</v>
      </c>
      <c r="F192" s="337" t="s">
        <v>2087</v>
      </c>
      <c r="G192" s="319" t="s">
        <v>826</v>
      </c>
      <c r="H192" s="337" t="s">
        <v>2089</v>
      </c>
      <c r="I192" s="324">
        <f>17883890008</f>
        <v>17883890008</v>
      </c>
      <c r="J192" s="332">
        <v>11962.8</v>
      </c>
      <c r="N192" s="321">
        <v>44516</v>
      </c>
      <c r="O192" s="328">
        <v>282</v>
      </c>
      <c r="P192" s="328">
        <v>282</v>
      </c>
      <c r="Q192" s="319">
        <v>9</v>
      </c>
      <c r="R192" s="321">
        <v>44391</v>
      </c>
      <c r="S192" s="321">
        <v>45487</v>
      </c>
      <c r="T192" s="321"/>
      <c r="U192" s="321"/>
      <c r="V192" s="321"/>
      <c r="W192" s="321">
        <v>45392</v>
      </c>
      <c r="X192" s="324">
        <v>157697987</v>
      </c>
      <c r="Y192" s="327" t="s">
        <v>652</v>
      </c>
      <c r="Z192" s="324"/>
      <c r="AA192" s="327" t="s">
        <v>1549</v>
      </c>
      <c r="AB192" s="324">
        <v>83</v>
      </c>
      <c r="AG192" s="312" t="s">
        <v>2254</v>
      </c>
    </row>
    <row r="193" spans="1:33" x14ac:dyDescent="0.25">
      <c r="A193" s="429">
        <v>172</v>
      </c>
      <c r="B193" s="320" t="s">
        <v>1374</v>
      </c>
      <c r="C193" s="321">
        <v>44852</v>
      </c>
      <c r="D193" s="319" t="s">
        <v>174</v>
      </c>
      <c r="E193" s="319" t="s">
        <v>1178</v>
      </c>
      <c r="F193" s="337" t="s">
        <v>2094</v>
      </c>
      <c r="G193" s="319" t="s">
        <v>1130</v>
      </c>
      <c r="H193" s="337" t="s">
        <v>2140</v>
      </c>
      <c r="I193" s="324">
        <v>3621118753</v>
      </c>
      <c r="J193" s="325">
        <v>12822.12</v>
      </c>
      <c r="N193" s="327">
        <v>44866</v>
      </c>
      <c r="O193" s="328">
        <v>104</v>
      </c>
      <c r="P193" s="324">
        <v>104</v>
      </c>
      <c r="Q193" s="319">
        <v>12</v>
      </c>
      <c r="R193" s="327">
        <v>44837</v>
      </c>
      <c r="S193" s="327">
        <v>45141</v>
      </c>
      <c r="T193" s="321">
        <v>45233</v>
      </c>
      <c r="U193" s="321">
        <v>45325</v>
      </c>
      <c r="V193" s="321">
        <v>45415</v>
      </c>
      <c r="W193" s="321">
        <v>45406</v>
      </c>
      <c r="X193" s="324">
        <v>49896984</v>
      </c>
      <c r="Y193" s="321" t="s">
        <v>1189</v>
      </c>
      <c r="Z193" s="324"/>
      <c r="AA193" s="333" t="s">
        <v>594</v>
      </c>
      <c r="AB193" s="328">
        <v>72</v>
      </c>
      <c r="AG193" s="312" t="s">
        <v>2254</v>
      </c>
    </row>
    <row r="194" spans="1:33" x14ac:dyDescent="0.25">
      <c r="A194" s="429"/>
      <c r="B194" s="346" t="s">
        <v>2249</v>
      </c>
      <c r="C194" s="321">
        <v>45300</v>
      </c>
      <c r="D194" s="319" t="s">
        <v>174</v>
      </c>
      <c r="E194" s="319" t="s">
        <v>1178</v>
      </c>
      <c r="F194" s="337" t="s">
        <v>2094</v>
      </c>
      <c r="G194" s="319" t="s">
        <v>1130</v>
      </c>
      <c r="H194" s="337" t="s">
        <v>2140</v>
      </c>
      <c r="I194" s="324">
        <v>2042198677</v>
      </c>
      <c r="J194" s="325">
        <v>12822.1</v>
      </c>
      <c r="N194" s="327">
        <v>44866</v>
      </c>
      <c r="O194" s="328">
        <v>104</v>
      </c>
      <c r="P194" s="414">
        <v>104</v>
      </c>
      <c r="Q194" s="328"/>
      <c r="R194" s="327"/>
      <c r="S194" s="327"/>
      <c r="T194" s="321"/>
      <c r="U194" s="321"/>
      <c r="V194" s="321"/>
      <c r="W194" s="321">
        <v>45406</v>
      </c>
      <c r="X194" s="324"/>
      <c r="Y194" s="321" t="s">
        <v>1992</v>
      </c>
      <c r="Z194" s="321"/>
      <c r="AA194" s="333" t="s">
        <v>594</v>
      </c>
      <c r="AB194" s="328"/>
      <c r="AG194" s="312" t="s">
        <v>2254</v>
      </c>
    </row>
    <row r="195" spans="1:33" x14ac:dyDescent="0.25">
      <c r="A195" s="429">
        <v>173</v>
      </c>
      <c r="B195" s="320" t="s">
        <v>1571</v>
      </c>
      <c r="C195" s="321">
        <v>45209</v>
      </c>
      <c r="D195" s="319" t="s">
        <v>174</v>
      </c>
      <c r="E195" s="319" t="s">
        <v>702</v>
      </c>
      <c r="F195" s="323" t="s">
        <v>1639</v>
      </c>
      <c r="G195" s="319" t="s">
        <v>1572</v>
      </c>
      <c r="H195" s="323" t="s">
        <v>1812</v>
      </c>
      <c r="I195" s="328">
        <v>2860595380</v>
      </c>
      <c r="J195" s="332">
        <v>9723.6</v>
      </c>
      <c r="N195" s="321">
        <v>45219</v>
      </c>
      <c r="O195" s="319">
        <v>130</v>
      </c>
      <c r="P195" s="324">
        <v>130</v>
      </c>
      <c r="Q195" s="319">
        <v>5</v>
      </c>
      <c r="R195" s="321">
        <v>45145</v>
      </c>
      <c r="S195" s="321">
        <v>45450</v>
      </c>
      <c r="T195" s="321"/>
      <c r="U195" s="321"/>
      <c r="V195" s="321"/>
      <c r="W195" s="321">
        <v>45442</v>
      </c>
      <c r="X195" s="328">
        <v>21906484</v>
      </c>
      <c r="Y195" s="321" t="s">
        <v>1612</v>
      </c>
      <c r="Z195" s="321"/>
      <c r="AA195" s="333" t="s">
        <v>594</v>
      </c>
      <c r="AB195" s="328">
        <v>84</v>
      </c>
      <c r="AG195" s="312" t="s">
        <v>2254</v>
      </c>
    </row>
    <row r="196" spans="1:33" x14ac:dyDescent="0.25">
      <c r="A196" s="429">
        <v>174</v>
      </c>
      <c r="B196" s="320" t="s">
        <v>771</v>
      </c>
      <c r="C196" s="321">
        <v>44623</v>
      </c>
      <c r="D196" s="319" t="s">
        <v>753</v>
      </c>
      <c r="E196" s="319" t="s">
        <v>685</v>
      </c>
      <c r="F196" s="337" t="s">
        <v>1955</v>
      </c>
      <c r="G196" s="319" t="s">
        <v>698</v>
      </c>
      <c r="H196" s="337" t="s">
        <v>2189</v>
      </c>
      <c r="I196" s="324">
        <v>15001173485</v>
      </c>
      <c r="J196" s="325">
        <v>137578.6</v>
      </c>
      <c r="N196" s="321">
        <v>44651</v>
      </c>
      <c r="O196" s="324">
        <v>1388</v>
      </c>
      <c r="P196" s="324">
        <v>1464</v>
      </c>
      <c r="Q196" s="319" t="s">
        <v>437</v>
      </c>
      <c r="R196" s="321">
        <v>44575</v>
      </c>
      <c r="S196" s="321">
        <v>45549</v>
      </c>
      <c r="T196" s="321"/>
      <c r="U196" s="321"/>
      <c r="V196" s="321"/>
      <c r="W196" s="327">
        <v>45380</v>
      </c>
      <c r="X196" s="324">
        <v>150011735</v>
      </c>
      <c r="Y196" s="327" t="s">
        <v>609</v>
      </c>
      <c r="Z196" s="327"/>
      <c r="AA196" s="333" t="s">
        <v>680</v>
      </c>
      <c r="AB196" s="324">
        <v>68</v>
      </c>
      <c r="AG196" s="312" t="s">
        <v>2254</v>
      </c>
    </row>
    <row r="197" spans="1:33" x14ac:dyDescent="0.25">
      <c r="A197" s="430"/>
      <c r="B197" s="346" t="s">
        <v>1978</v>
      </c>
      <c r="C197" s="321">
        <v>44502</v>
      </c>
      <c r="D197" s="319" t="s">
        <v>176</v>
      </c>
      <c r="E197" s="319" t="s">
        <v>737</v>
      </c>
      <c r="F197" s="337" t="s">
        <v>2105</v>
      </c>
      <c r="G197" s="319" t="s">
        <v>738</v>
      </c>
      <c r="H197" s="337" t="s">
        <v>2154</v>
      </c>
      <c r="I197" s="328">
        <f>2382516293</f>
        <v>2382516293</v>
      </c>
      <c r="J197" s="325">
        <f>8613.73</f>
        <v>8613.73</v>
      </c>
      <c r="N197" s="321">
        <v>44526</v>
      </c>
      <c r="O197" s="319">
        <f>48</f>
        <v>48</v>
      </c>
      <c r="P197" s="310">
        <f>48</f>
        <v>48</v>
      </c>
      <c r="Q197" s="319">
        <v>9</v>
      </c>
      <c r="R197" s="321">
        <v>44244</v>
      </c>
      <c r="S197" s="327">
        <v>44805</v>
      </c>
      <c r="T197" s="327">
        <v>44896</v>
      </c>
      <c r="U197" s="327">
        <v>44986</v>
      </c>
      <c r="V197" s="327">
        <v>45078</v>
      </c>
      <c r="W197" s="327">
        <v>45429</v>
      </c>
      <c r="X197" s="324"/>
      <c r="Y197" s="324" t="s">
        <v>649</v>
      </c>
      <c r="Z197" s="324"/>
      <c r="AA197" s="327" t="s">
        <v>681</v>
      </c>
      <c r="AB197" s="322">
        <v>84</v>
      </c>
      <c r="AG197" s="312" t="s">
        <v>2254</v>
      </c>
    </row>
    <row r="198" spans="1:33" x14ac:dyDescent="0.25">
      <c r="A198" s="429">
        <v>175</v>
      </c>
      <c r="B198" s="320" t="s">
        <v>1558</v>
      </c>
      <c r="C198" s="321">
        <v>45090</v>
      </c>
      <c r="D198" s="319" t="s">
        <v>369</v>
      </c>
      <c r="E198" s="319" t="s">
        <v>1444</v>
      </c>
      <c r="F198" s="409" t="s">
        <v>1958</v>
      </c>
      <c r="G198" s="319" t="s">
        <v>1445</v>
      </c>
      <c r="H198" s="337" t="s">
        <v>1647</v>
      </c>
      <c r="I198" s="328">
        <v>1226556104</v>
      </c>
      <c r="J198" s="332">
        <v>6698.3</v>
      </c>
      <c r="N198" s="321">
        <v>45111</v>
      </c>
      <c r="O198" s="319">
        <v>60</v>
      </c>
      <c r="P198" s="416">
        <v>58</v>
      </c>
      <c r="Q198" s="319">
        <v>5</v>
      </c>
      <c r="R198" s="327">
        <v>44855</v>
      </c>
      <c r="S198" s="327">
        <v>45281</v>
      </c>
      <c r="T198" s="327">
        <v>45372</v>
      </c>
      <c r="U198" s="327">
        <v>45464</v>
      </c>
      <c r="V198" s="324"/>
      <c r="W198" s="327">
        <v>45461</v>
      </c>
      <c r="X198" s="324">
        <v>10420227</v>
      </c>
      <c r="Y198" s="324" t="s">
        <v>1528</v>
      </c>
      <c r="Z198" s="324"/>
      <c r="AA198" s="324" t="s">
        <v>1446</v>
      </c>
      <c r="AB198" s="324">
        <v>86</v>
      </c>
      <c r="AG198" s="312" t="s">
        <v>2254</v>
      </c>
    </row>
    <row r="199" spans="1:33" x14ac:dyDescent="0.25">
      <c r="A199" s="429">
        <v>176</v>
      </c>
      <c r="B199" s="320" t="s">
        <v>1569</v>
      </c>
      <c r="C199" s="321">
        <v>45083</v>
      </c>
      <c r="D199" s="319" t="s">
        <v>1179</v>
      </c>
      <c r="E199" s="319" t="s">
        <v>791</v>
      </c>
      <c r="F199" s="337" t="s">
        <v>1621</v>
      </c>
      <c r="G199" s="319" t="s">
        <v>972</v>
      </c>
      <c r="H199" s="323" t="s">
        <v>2204</v>
      </c>
      <c r="I199" s="324">
        <v>6705420003</v>
      </c>
      <c r="J199" s="332">
        <v>24819.83</v>
      </c>
      <c r="N199" s="327">
        <v>45103</v>
      </c>
      <c r="O199" s="324">
        <v>319</v>
      </c>
      <c r="P199" s="416">
        <v>319</v>
      </c>
      <c r="Q199" s="319">
        <v>9</v>
      </c>
      <c r="R199" s="321">
        <v>44939</v>
      </c>
      <c r="S199" s="321">
        <v>45273</v>
      </c>
      <c r="T199" s="321">
        <v>45364</v>
      </c>
      <c r="U199" s="321">
        <v>45456</v>
      </c>
      <c r="V199" s="321">
        <v>45548</v>
      </c>
      <c r="W199" s="327">
        <v>45476</v>
      </c>
      <c r="X199" s="328">
        <v>67054200</v>
      </c>
      <c r="Y199" s="321" t="s">
        <v>1509</v>
      </c>
      <c r="Z199" s="324"/>
      <c r="AA199" s="327" t="s">
        <v>680</v>
      </c>
      <c r="AB199" s="328">
        <v>92</v>
      </c>
      <c r="AG199" s="312" t="s">
        <v>2254</v>
      </c>
    </row>
    <row r="200" spans="1:33" x14ac:dyDescent="0.25">
      <c r="A200" s="429">
        <v>177</v>
      </c>
      <c r="B200" s="320" t="s">
        <v>1311</v>
      </c>
      <c r="C200" s="321">
        <v>45034</v>
      </c>
      <c r="D200" s="319" t="s">
        <v>175</v>
      </c>
      <c r="E200" s="319" t="s">
        <v>1330</v>
      </c>
      <c r="F200" s="337" t="s">
        <v>2082</v>
      </c>
      <c r="G200" s="319" t="s">
        <v>1144</v>
      </c>
      <c r="H200" s="337" t="s">
        <v>2083</v>
      </c>
      <c r="I200" s="324">
        <v>2625205150</v>
      </c>
      <c r="J200" s="325">
        <v>14521.36</v>
      </c>
      <c r="N200" s="327">
        <v>45079</v>
      </c>
      <c r="O200" s="328">
        <v>136</v>
      </c>
      <c r="P200" s="416">
        <v>136</v>
      </c>
      <c r="Q200" s="328">
        <v>9</v>
      </c>
      <c r="R200" s="321">
        <v>44914</v>
      </c>
      <c r="S200" s="321">
        <v>45202</v>
      </c>
      <c r="T200" s="321">
        <v>45294</v>
      </c>
      <c r="U200" s="321">
        <v>45385</v>
      </c>
      <c r="V200" s="321" t="s">
        <v>1983</v>
      </c>
      <c r="W200" s="321">
        <v>45474</v>
      </c>
      <c r="X200" s="328">
        <v>24157502</v>
      </c>
      <c r="Y200" s="321" t="s">
        <v>1439</v>
      </c>
      <c r="Z200" s="321"/>
      <c r="AA200" s="321" t="s">
        <v>669</v>
      </c>
      <c r="AB200" s="328">
        <v>60</v>
      </c>
      <c r="AG200" s="312" t="s">
        <v>2254</v>
      </c>
    </row>
    <row r="201" spans="1:33" x14ac:dyDescent="0.25">
      <c r="A201" s="429">
        <v>178</v>
      </c>
      <c r="B201" s="320" t="s">
        <v>1421</v>
      </c>
      <c r="C201" s="321">
        <v>45083</v>
      </c>
      <c r="D201" s="319" t="s">
        <v>2073</v>
      </c>
      <c r="E201" s="322" t="s">
        <v>706</v>
      </c>
      <c r="F201" s="337" t="s">
        <v>2064</v>
      </c>
      <c r="G201" s="322" t="s">
        <v>707</v>
      </c>
      <c r="H201" s="337" t="s">
        <v>2086</v>
      </c>
      <c r="I201" s="324">
        <v>1084238076</v>
      </c>
      <c r="J201" s="325">
        <v>4352.5</v>
      </c>
      <c r="N201" s="321">
        <v>45128</v>
      </c>
      <c r="O201" s="328">
        <v>58</v>
      </c>
      <c r="P201" s="417">
        <v>58</v>
      </c>
      <c r="Q201" s="319">
        <v>5</v>
      </c>
      <c r="R201" s="321">
        <v>45022</v>
      </c>
      <c r="S201" s="321">
        <v>45297</v>
      </c>
      <c r="T201" s="321">
        <v>45388</v>
      </c>
      <c r="U201" s="321"/>
      <c r="V201" s="319"/>
      <c r="W201" s="321">
        <v>45378</v>
      </c>
      <c r="X201" s="328">
        <v>8564559</v>
      </c>
      <c r="Y201" s="321" t="s">
        <v>2025</v>
      </c>
      <c r="Z201" s="321"/>
      <c r="AA201" s="321" t="s">
        <v>599</v>
      </c>
      <c r="AB201" s="328">
        <v>75</v>
      </c>
      <c r="AG201" s="312" t="s">
        <v>2254</v>
      </c>
    </row>
    <row r="202" spans="1:33" x14ac:dyDescent="0.25">
      <c r="A202" s="429">
        <v>179</v>
      </c>
      <c r="B202" s="320" t="s">
        <v>1562</v>
      </c>
      <c r="C202" s="321">
        <v>45188</v>
      </c>
      <c r="D202" s="319" t="s">
        <v>1179</v>
      </c>
      <c r="E202" s="319" t="s">
        <v>791</v>
      </c>
      <c r="F202" s="337" t="s">
        <v>1621</v>
      </c>
      <c r="G202" s="319" t="s">
        <v>1678</v>
      </c>
      <c r="H202" s="337" t="s">
        <v>1624</v>
      </c>
      <c r="I202" s="328">
        <v>7244730899</v>
      </c>
      <c r="J202" s="332">
        <v>16162.59</v>
      </c>
      <c r="N202" s="321">
        <v>45196</v>
      </c>
      <c r="O202" s="319">
        <v>257</v>
      </c>
      <c r="P202" s="417">
        <v>257</v>
      </c>
      <c r="Q202" s="319" t="s">
        <v>491</v>
      </c>
      <c r="R202" s="321">
        <v>45079</v>
      </c>
      <c r="S202" s="321">
        <v>45475</v>
      </c>
      <c r="T202" s="321">
        <v>45567</v>
      </c>
      <c r="U202" s="321"/>
      <c r="V202" s="319"/>
      <c r="W202" s="321">
        <v>45492</v>
      </c>
      <c r="X202" s="328">
        <v>71938878</v>
      </c>
      <c r="Y202" s="321" t="s">
        <v>2026</v>
      </c>
      <c r="Z202" s="321"/>
      <c r="AA202" s="333" t="s">
        <v>1549</v>
      </c>
      <c r="AB202" s="328">
        <v>82</v>
      </c>
      <c r="AG202" s="312" t="s">
        <v>2254</v>
      </c>
    </row>
    <row r="203" spans="1:33" x14ac:dyDescent="0.25">
      <c r="A203" s="429">
        <v>180</v>
      </c>
      <c r="B203" s="320" t="s">
        <v>1690</v>
      </c>
      <c r="C203" s="321">
        <v>45398</v>
      </c>
      <c r="D203" s="319" t="s">
        <v>1179</v>
      </c>
      <c r="E203" s="319" t="s">
        <v>791</v>
      </c>
      <c r="F203" s="337" t="s">
        <v>1621</v>
      </c>
      <c r="G203" s="319" t="s">
        <v>1678</v>
      </c>
      <c r="H203" s="337" t="s">
        <v>1624</v>
      </c>
      <c r="I203" s="328">
        <v>2679891550</v>
      </c>
      <c r="J203" s="332">
        <v>7217.35</v>
      </c>
      <c r="N203" s="321">
        <v>45418</v>
      </c>
      <c r="O203" s="319">
        <v>106</v>
      </c>
      <c r="P203" s="324">
        <v>106</v>
      </c>
      <c r="Q203" s="319">
        <v>9</v>
      </c>
      <c r="R203" s="321">
        <v>45371</v>
      </c>
      <c r="S203" s="321">
        <v>45585</v>
      </c>
      <c r="T203" s="336"/>
      <c r="U203" s="336"/>
      <c r="V203" s="336"/>
      <c r="W203" s="321">
        <v>45499</v>
      </c>
      <c r="X203" s="328">
        <v>26635886</v>
      </c>
      <c r="Y203" s="321" t="s">
        <v>2027</v>
      </c>
      <c r="Z203" s="321"/>
      <c r="AA203" s="333" t="s">
        <v>1549</v>
      </c>
      <c r="AB203" s="328">
        <v>83</v>
      </c>
      <c r="AG203" s="312" t="s">
        <v>2254</v>
      </c>
    </row>
    <row r="204" spans="1:33" x14ac:dyDescent="0.25">
      <c r="A204" s="429">
        <v>181</v>
      </c>
      <c r="B204" s="320" t="s">
        <v>1566</v>
      </c>
      <c r="C204" s="321">
        <v>45111</v>
      </c>
      <c r="D204" s="319" t="s">
        <v>1179</v>
      </c>
      <c r="E204" s="322" t="s">
        <v>716</v>
      </c>
      <c r="F204" s="334">
        <v>960340000376</v>
      </c>
      <c r="G204" s="322" t="s">
        <v>823</v>
      </c>
      <c r="H204" s="337" t="s">
        <v>2141</v>
      </c>
      <c r="I204" s="324">
        <v>3413044920</v>
      </c>
      <c r="J204" s="325">
        <v>19350.28</v>
      </c>
      <c r="N204" s="321">
        <v>45149</v>
      </c>
      <c r="O204" s="328">
        <v>141</v>
      </c>
      <c r="P204" s="324">
        <v>141</v>
      </c>
      <c r="Q204" s="319" t="s">
        <v>47</v>
      </c>
      <c r="R204" s="321">
        <v>44868</v>
      </c>
      <c r="S204" s="321">
        <v>45507</v>
      </c>
      <c r="T204" s="321"/>
      <c r="U204" s="321"/>
      <c r="V204" s="319"/>
      <c r="W204" s="321">
        <v>45505</v>
      </c>
      <c r="X204" s="328">
        <v>29286365</v>
      </c>
      <c r="Y204" s="321" t="s">
        <v>2028</v>
      </c>
      <c r="Z204" s="321"/>
      <c r="AA204" s="321" t="s">
        <v>669</v>
      </c>
      <c r="AB204" s="328">
        <v>87</v>
      </c>
      <c r="AG204" s="312" t="s">
        <v>2254</v>
      </c>
    </row>
    <row r="205" spans="1:33" x14ac:dyDescent="0.25">
      <c r="A205" s="429">
        <v>182</v>
      </c>
      <c r="B205" s="320" t="s">
        <v>1979</v>
      </c>
      <c r="C205" s="321">
        <v>44502</v>
      </c>
      <c r="D205" s="319" t="s">
        <v>176</v>
      </c>
      <c r="E205" s="319" t="s">
        <v>737</v>
      </c>
      <c r="F205" s="337" t="s">
        <v>2105</v>
      </c>
      <c r="G205" s="319" t="s">
        <v>738</v>
      </c>
      <c r="H205" s="337" t="s">
        <v>2154</v>
      </c>
      <c r="I205" s="324">
        <f>6572665688-1888729449-2382516293</f>
        <v>2301419946</v>
      </c>
      <c r="J205" s="325">
        <f>34149.5-8308.3-8613.73</f>
        <v>17227.47</v>
      </c>
      <c r="N205" s="321">
        <v>44526</v>
      </c>
      <c r="O205" s="324">
        <f>198-54-48</f>
        <v>96</v>
      </c>
      <c r="P205" s="324">
        <v>48</v>
      </c>
      <c r="Q205" s="319">
        <v>9</v>
      </c>
      <c r="R205" s="321">
        <v>44244</v>
      </c>
      <c r="S205" s="321">
        <v>44805</v>
      </c>
      <c r="T205" s="321">
        <v>44896</v>
      </c>
      <c r="U205" s="321">
        <v>44986</v>
      </c>
      <c r="V205" s="321">
        <v>45078</v>
      </c>
      <c r="W205" s="418">
        <v>45503</v>
      </c>
      <c r="X205" s="324">
        <v>56155552</v>
      </c>
      <c r="Y205" s="327" t="s">
        <v>649</v>
      </c>
      <c r="Z205" s="324"/>
      <c r="AA205" s="327" t="s">
        <v>681</v>
      </c>
      <c r="AB205" s="324">
        <v>84</v>
      </c>
      <c r="AG205" s="312" t="s">
        <v>2254</v>
      </c>
    </row>
    <row r="206" spans="1:33" x14ac:dyDescent="0.25">
      <c r="A206" s="429"/>
      <c r="B206" s="346" t="s">
        <v>2250</v>
      </c>
      <c r="C206" s="321">
        <v>44973</v>
      </c>
      <c r="D206" s="319" t="s">
        <v>176</v>
      </c>
      <c r="E206" s="319" t="s">
        <v>737</v>
      </c>
      <c r="F206" s="337" t="s">
        <v>2105</v>
      </c>
      <c r="G206" s="319" t="s">
        <v>738</v>
      </c>
      <c r="H206" s="337" t="s">
        <v>2154</v>
      </c>
      <c r="I206" s="324">
        <v>113803898</v>
      </c>
      <c r="J206" s="325">
        <v>-8613.74</v>
      </c>
      <c r="N206" s="321">
        <v>44981</v>
      </c>
      <c r="O206" s="328">
        <v>-48</v>
      </c>
      <c r="P206" s="324"/>
      <c r="Q206" s="319">
        <v>0</v>
      </c>
      <c r="R206" s="321">
        <v>44244</v>
      </c>
      <c r="S206" s="321">
        <v>45078</v>
      </c>
      <c r="T206" s="328"/>
      <c r="U206" s="321"/>
      <c r="V206" s="319"/>
      <c r="W206" s="418">
        <v>45503</v>
      </c>
      <c r="X206" s="328">
        <v>1138037</v>
      </c>
      <c r="Y206" s="327" t="s">
        <v>2024</v>
      </c>
      <c r="Z206" s="321"/>
      <c r="AA206" s="327" t="s">
        <v>681</v>
      </c>
      <c r="AB206" s="328">
        <v>84</v>
      </c>
      <c r="AG206" s="312" t="s">
        <v>2254</v>
      </c>
    </row>
    <row r="207" spans="1:33" x14ac:dyDescent="0.25">
      <c r="A207" s="429">
        <v>183</v>
      </c>
      <c r="B207" s="320" t="s">
        <v>2004</v>
      </c>
      <c r="C207" s="321">
        <v>45148</v>
      </c>
      <c r="D207" s="319" t="s">
        <v>174</v>
      </c>
      <c r="E207" s="319" t="s">
        <v>699</v>
      </c>
      <c r="F207" s="323" t="s">
        <v>1626</v>
      </c>
      <c r="G207" s="319" t="s">
        <v>1514</v>
      </c>
      <c r="H207" s="409" t="s">
        <v>1627</v>
      </c>
      <c r="I207" s="328">
        <v>2934513361</v>
      </c>
      <c r="J207" s="332">
        <v>11723</v>
      </c>
      <c r="N207" s="321">
        <v>45183</v>
      </c>
      <c r="O207" s="319">
        <v>80</v>
      </c>
      <c r="P207" s="324">
        <v>90</v>
      </c>
      <c r="Q207" s="319">
        <v>9</v>
      </c>
      <c r="R207" s="321">
        <v>45089</v>
      </c>
      <c r="S207" s="321">
        <v>45363</v>
      </c>
      <c r="T207" s="321">
        <v>45455</v>
      </c>
      <c r="U207" s="321"/>
      <c r="V207" s="319"/>
      <c r="W207" s="321">
        <v>45454</v>
      </c>
      <c r="X207" s="328">
        <v>26372811</v>
      </c>
      <c r="Y207" s="321" t="s">
        <v>1574</v>
      </c>
      <c r="Z207" s="321"/>
      <c r="AA207" s="333" t="s">
        <v>607</v>
      </c>
      <c r="AB207" s="328">
        <v>70</v>
      </c>
      <c r="AG207" s="312" t="s">
        <v>2254</v>
      </c>
    </row>
    <row r="208" spans="1:33" x14ac:dyDescent="0.25">
      <c r="A208" s="429">
        <v>184</v>
      </c>
      <c r="B208" s="320" t="s">
        <v>1265</v>
      </c>
      <c r="C208" s="321">
        <v>44950</v>
      </c>
      <c r="D208" s="319" t="s">
        <v>1179</v>
      </c>
      <c r="E208" s="319" t="s">
        <v>948</v>
      </c>
      <c r="F208" s="337" t="s">
        <v>2103</v>
      </c>
      <c r="G208" s="319" t="s">
        <v>1310</v>
      </c>
      <c r="H208" s="337" t="s">
        <v>2180</v>
      </c>
      <c r="I208" s="324">
        <v>5499684209</v>
      </c>
      <c r="J208" s="325">
        <v>27554.55</v>
      </c>
      <c r="N208" s="321">
        <v>44980</v>
      </c>
      <c r="O208" s="324">
        <v>394</v>
      </c>
      <c r="P208" s="324">
        <v>394</v>
      </c>
      <c r="Q208" s="319" t="s">
        <v>491</v>
      </c>
      <c r="R208" s="321">
        <v>44889</v>
      </c>
      <c r="S208" s="321">
        <v>45420</v>
      </c>
      <c r="T208" s="328"/>
      <c r="U208" s="321"/>
      <c r="V208" s="319"/>
      <c r="W208" s="321">
        <v>45420</v>
      </c>
      <c r="X208" s="328">
        <v>46751044</v>
      </c>
      <c r="Y208" s="321" t="s">
        <v>1338</v>
      </c>
      <c r="Z208" s="321"/>
      <c r="AA208" s="321" t="s">
        <v>1446</v>
      </c>
      <c r="AB208" s="328">
        <v>73</v>
      </c>
      <c r="AG208" s="312" t="s">
        <v>2254</v>
      </c>
    </row>
    <row r="209" spans="1:33" x14ac:dyDescent="0.25">
      <c r="A209" s="429">
        <v>185</v>
      </c>
      <c r="B209" s="320" t="s">
        <v>1331</v>
      </c>
      <c r="C209" s="321">
        <v>45072</v>
      </c>
      <c r="D209" s="319" t="s">
        <v>1179</v>
      </c>
      <c r="E209" s="319" t="s">
        <v>716</v>
      </c>
      <c r="F209" s="334">
        <v>960340000376</v>
      </c>
      <c r="G209" s="319" t="s">
        <v>816</v>
      </c>
      <c r="H209" s="337" t="s">
        <v>2186</v>
      </c>
      <c r="I209" s="328">
        <v>2228232541</v>
      </c>
      <c r="J209" s="325">
        <v>9633.7000000000007</v>
      </c>
      <c r="N209" s="327">
        <v>45098</v>
      </c>
      <c r="O209" s="324">
        <v>96</v>
      </c>
      <c r="P209" s="324">
        <v>96</v>
      </c>
      <c r="Q209" s="419" t="s">
        <v>1996</v>
      </c>
      <c r="R209" s="321">
        <v>44868</v>
      </c>
      <c r="S209" s="321">
        <v>45263</v>
      </c>
      <c r="T209" s="321">
        <v>45354</v>
      </c>
      <c r="U209" s="321">
        <v>45446</v>
      </c>
      <c r="V209" s="321">
        <v>45538</v>
      </c>
      <c r="W209" s="321">
        <v>45517</v>
      </c>
      <c r="X209" s="328">
        <v>21950725</v>
      </c>
      <c r="Y209" s="327" t="s">
        <v>1769</v>
      </c>
      <c r="Z209" s="321"/>
      <c r="AA209" s="327" t="s">
        <v>607</v>
      </c>
      <c r="AB209" s="328">
        <v>85</v>
      </c>
      <c r="AG209" s="312" t="s">
        <v>2254</v>
      </c>
    </row>
    <row r="210" spans="1:33" x14ac:dyDescent="0.25">
      <c r="A210" s="429">
        <v>186</v>
      </c>
      <c r="B210" s="320" t="s">
        <v>1334</v>
      </c>
      <c r="C210" s="321">
        <v>45072</v>
      </c>
      <c r="D210" s="319" t="s">
        <v>1179</v>
      </c>
      <c r="E210" s="319" t="s">
        <v>716</v>
      </c>
      <c r="F210" s="334">
        <v>960340000376</v>
      </c>
      <c r="G210" s="319" t="s">
        <v>816</v>
      </c>
      <c r="H210" s="337" t="s">
        <v>2186</v>
      </c>
      <c r="I210" s="324">
        <v>1057725138</v>
      </c>
      <c r="J210" s="325">
        <v>5866.6</v>
      </c>
      <c r="N210" s="327">
        <v>45098</v>
      </c>
      <c r="O210" s="324">
        <v>54</v>
      </c>
      <c r="P210" s="324">
        <v>54</v>
      </c>
      <c r="Q210" s="319">
        <v>10</v>
      </c>
      <c r="R210" s="321">
        <v>44960</v>
      </c>
      <c r="S210" s="321">
        <v>45324</v>
      </c>
      <c r="T210" s="321">
        <v>45414</v>
      </c>
      <c r="U210" s="321">
        <v>45506</v>
      </c>
      <c r="V210" s="319"/>
      <c r="W210" s="321">
        <v>45517</v>
      </c>
      <c r="X210" s="328">
        <v>10429811</v>
      </c>
      <c r="Y210" s="327" t="s">
        <v>1769</v>
      </c>
      <c r="Z210" s="321"/>
      <c r="AA210" s="327" t="s">
        <v>607</v>
      </c>
      <c r="AB210" s="328">
        <v>85</v>
      </c>
      <c r="AG210" s="312" t="s">
        <v>2254</v>
      </c>
    </row>
    <row r="211" spans="1:33" x14ac:dyDescent="0.25">
      <c r="A211" s="429">
        <v>187</v>
      </c>
      <c r="B211" s="320" t="s">
        <v>1333</v>
      </c>
      <c r="C211" s="321">
        <v>45072</v>
      </c>
      <c r="D211" s="319" t="s">
        <v>1179</v>
      </c>
      <c r="E211" s="319" t="s">
        <v>716</v>
      </c>
      <c r="F211" s="334">
        <v>960340000376</v>
      </c>
      <c r="G211" s="319" t="s">
        <v>816</v>
      </c>
      <c r="H211" s="337" t="s">
        <v>2186</v>
      </c>
      <c r="I211" s="324">
        <v>1108602580</v>
      </c>
      <c r="J211" s="332">
        <v>5279</v>
      </c>
      <c r="N211" s="327">
        <v>45098</v>
      </c>
      <c r="O211" s="324">
        <v>54</v>
      </c>
      <c r="P211" s="324">
        <v>54</v>
      </c>
      <c r="Q211" s="319">
        <v>10</v>
      </c>
      <c r="R211" s="321">
        <v>44964</v>
      </c>
      <c r="S211" s="321">
        <v>45358</v>
      </c>
      <c r="T211" s="321">
        <v>45450</v>
      </c>
      <c r="U211" s="321">
        <v>45542</v>
      </c>
      <c r="V211" s="319"/>
      <c r="W211" s="321">
        <v>45538</v>
      </c>
      <c r="X211" s="328">
        <v>10937285.800000001</v>
      </c>
      <c r="Y211" s="327" t="s">
        <v>1769</v>
      </c>
      <c r="Z211" s="321"/>
      <c r="AA211" s="327" t="s">
        <v>607</v>
      </c>
      <c r="AB211" s="328">
        <v>85</v>
      </c>
      <c r="AG211" s="312" t="s">
        <v>2254</v>
      </c>
    </row>
    <row r="212" spans="1:33" x14ac:dyDescent="0.25">
      <c r="A212" s="429">
        <v>188</v>
      </c>
      <c r="B212" s="320" t="s">
        <v>1287</v>
      </c>
      <c r="C212" s="321">
        <v>44959</v>
      </c>
      <c r="D212" s="319" t="s">
        <v>753</v>
      </c>
      <c r="E212" s="322" t="s">
        <v>889</v>
      </c>
      <c r="F212" s="411">
        <v>970540007997</v>
      </c>
      <c r="G212" s="322" t="s">
        <v>872</v>
      </c>
      <c r="H212" s="412">
        <v>111240020442</v>
      </c>
      <c r="I212" s="324">
        <v>1843376079</v>
      </c>
      <c r="J212" s="325">
        <v>7489.55</v>
      </c>
      <c r="N212" s="321">
        <v>44981</v>
      </c>
      <c r="O212" s="328">
        <v>88</v>
      </c>
      <c r="P212" s="324">
        <v>88</v>
      </c>
      <c r="Q212" s="319">
        <v>12</v>
      </c>
      <c r="R212" s="321">
        <v>44923</v>
      </c>
      <c r="S212" s="321">
        <v>45197</v>
      </c>
      <c r="T212" s="321">
        <v>45288</v>
      </c>
      <c r="U212" s="321">
        <v>45379</v>
      </c>
      <c r="V212" s="319"/>
      <c r="W212" s="321">
        <v>45379</v>
      </c>
      <c r="X212" s="328">
        <v>18433761</v>
      </c>
      <c r="Y212" s="321" t="s">
        <v>1345</v>
      </c>
      <c r="Z212" s="321"/>
      <c r="AA212" s="321" t="s">
        <v>2076</v>
      </c>
      <c r="AB212" s="328">
        <v>68</v>
      </c>
      <c r="AG212" s="312" t="s">
        <v>2254</v>
      </c>
    </row>
    <row r="213" spans="1:33" x14ac:dyDescent="0.25">
      <c r="A213" s="423">
        <v>1</v>
      </c>
      <c r="B213" s="346" t="s">
        <v>2044</v>
      </c>
      <c r="C213" s="321">
        <v>44497</v>
      </c>
      <c r="D213" s="345" t="s">
        <v>1179</v>
      </c>
      <c r="E213" s="348" t="s">
        <v>736</v>
      </c>
      <c r="F213" s="349" t="s">
        <v>1637</v>
      </c>
      <c r="G213" s="348" t="s">
        <v>825</v>
      </c>
      <c r="H213" s="349" t="s">
        <v>1638</v>
      </c>
      <c r="I213" s="350">
        <v>14682663880</v>
      </c>
      <c r="J213" s="351">
        <v>52536.800000000003</v>
      </c>
      <c r="K213" s="444">
        <v>35232.120000000003</v>
      </c>
      <c r="L213" s="453">
        <v>279.47399999999999</v>
      </c>
      <c r="M213" s="453">
        <v>385</v>
      </c>
      <c r="N213" s="347">
        <v>44518</v>
      </c>
      <c r="O213" s="350">
        <v>390</v>
      </c>
      <c r="P213" s="350"/>
      <c r="Q213" s="345">
        <v>12.16</v>
      </c>
      <c r="R213" s="347">
        <v>44258</v>
      </c>
      <c r="S213" s="347">
        <v>45294</v>
      </c>
      <c r="T213" s="347">
        <v>45385</v>
      </c>
      <c r="U213" s="347">
        <v>45476</v>
      </c>
      <c r="V213" s="347">
        <v>45568</v>
      </c>
      <c r="W213" s="347">
        <v>45568</v>
      </c>
      <c r="X213" s="350">
        <v>131346323</v>
      </c>
      <c r="Y213" s="352" t="s">
        <v>648</v>
      </c>
      <c r="Z213" s="350"/>
      <c r="AA213" s="347" t="s">
        <v>2075</v>
      </c>
      <c r="AB213" s="350">
        <v>100</v>
      </c>
      <c r="AC213" s="448">
        <v>3</v>
      </c>
      <c r="AD213" s="448"/>
      <c r="AE213" s="448"/>
      <c r="AF213" s="448"/>
      <c r="AG213" s="354" t="s">
        <v>2236</v>
      </c>
    </row>
    <row r="214" spans="1:33" x14ac:dyDescent="0.25">
      <c r="A214" s="423">
        <v>2</v>
      </c>
      <c r="B214" s="346" t="s">
        <v>1551</v>
      </c>
      <c r="C214" s="321">
        <v>44504</v>
      </c>
      <c r="D214" s="345" t="s">
        <v>369</v>
      </c>
      <c r="E214" s="345" t="s">
        <v>740</v>
      </c>
      <c r="F214" s="349" t="s">
        <v>1644</v>
      </c>
      <c r="G214" s="345" t="s">
        <v>741</v>
      </c>
      <c r="H214" s="355">
        <v>191040002530</v>
      </c>
      <c r="I214" s="350">
        <v>7324207552</v>
      </c>
      <c r="J214" s="351">
        <f>84002.5-35757.72</f>
        <v>48244.78</v>
      </c>
      <c r="K214" s="444">
        <v>35637.800000000003</v>
      </c>
      <c r="L214" s="453">
        <v>154.4</v>
      </c>
      <c r="M214" s="453">
        <v>200</v>
      </c>
      <c r="N214" s="347">
        <v>44523</v>
      </c>
      <c r="O214" s="356">
        <f>1040-480</f>
        <v>560</v>
      </c>
      <c r="P214" s="356"/>
      <c r="Q214" s="345">
        <v>5</v>
      </c>
      <c r="R214" s="347">
        <v>44370</v>
      </c>
      <c r="S214" s="347">
        <v>45848</v>
      </c>
      <c r="T214" s="345"/>
      <c r="U214" s="345"/>
      <c r="V214" s="345"/>
      <c r="W214" s="347">
        <v>45848</v>
      </c>
      <c r="X214" s="350">
        <v>116526220</v>
      </c>
      <c r="Y214" s="352" t="s">
        <v>650</v>
      </c>
      <c r="Z214" s="350"/>
      <c r="AA214" s="352" t="s">
        <v>2077</v>
      </c>
      <c r="AB214" s="350">
        <v>80</v>
      </c>
      <c r="AC214" s="448">
        <v>0</v>
      </c>
      <c r="AD214" s="448"/>
      <c r="AE214" s="448"/>
      <c r="AF214" s="448"/>
      <c r="AG214" s="354" t="s">
        <v>2236</v>
      </c>
    </row>
    <row r="215" spans="1:33" x14ac:dyDescent="0.25">
      <c r="A215" s="424">
        <v>3</v>
      </c>
      <c r="B215" s="358" t="s">
        <v>1187</v>
      </c>
      <c r="C215" s="329">
        <v>44749</v>
      </c>
      <c r="D215" s="357" t="s">
        <v>1179</v>
      </c>
      <c r="E215" s="357" t="s">
        <v>711</v>
      </c>
      <c r="F215" s="389">
        <v>180440021488</v>
      </c>
      <c r="G215" s="357" t="s">
        <v>786</v>
      </c>
      <c r="H215" s="360" t="s">
        <v>1997</v>
      </c>
      <c r="I215" s="361">
        <v>5361772296</v>
      </c>
      <c r="J215" s="362">
        <v>34095.269999999997</v>
      </c>
      <c r="K215" s="440">
        <v>22518.75</v>
      </c>
      <c r="L215" s="450">
        <v>157.19999999999999</v>
      </c>
      <c r="M215" s="450">
        <v>320</v>
      </c>
      <c r="N215" s="359">
        <v>44783</v>
      </c>
      <c r="O215" s="364">
        <v>294</v>
      </c>
      <c r="P215" s="364"/>
      <c r="Q215" s="357">
        <v>8</v>
      </c>
      <c r="R215" s="359">
        <v>44636</v>
      </c>
      <c r="S215" s="359">
        <v>45185</v>
      </c>
      <c r="T215" s="359">
        <v>45276</v>
      </c>
      <c r="U215" s="359">
        <v>45367</v>
      </c>
      <c r="V215" s="357"/>
      <c r="W215" s="365" t="s">
        <v>1737</v>
      </c>
      <c r="X215" s="364">
        <v>22318259</v>
      </c>
      <c r="Y215" s="359" t="s">
        <v>670</v>
      </c>
      <c r="Z215" s="359"/>
      <c r="AA215" s="366" t="s">
        <v>2075</v>
      </c>
      <c r="AB215" s="364">
        <v>93</v>
      </c>
      <c r="AC215" s="449">
        <v>2</v>
      </c>
      <c r="AD215" s="449"/>
      <c r="AE215" s="449"/>
      <c r="AF215" s="449"/>
      <c r="AG215" s="354" t="s">
        <v>2236</v>
      </c>
    </row>
    <row r="216" spans="1:33" x14ac:dyDescent="0.25">
      <c r="A216" s="425">
        <v>4</v>
      </c>
      <c r="B216" s="368" t="s">
        <v>1730</v>
      </c>
      <c r="C216" s="330">
        <v>44777</v>
      </c>
      <c r="D216" s="367" t="s">
        <v>760</v>
      </c>
      <c r="E216" s="367" t="s">
        <v>1135</v>
      </c>
      <c r="F216" s="370" t="s">
        <v>1634</v>
      </c>
      <c r="G216" s="367" t="s">
        <v>789</v>
      </c>
      <c r="H216" s="370" t="s">
        <v>1635</v>
      </c>
      <c r="I216" s="371">
        <v>3704798634</v>
      </c>
      <c r="J216" s="372">
        <v>10948.36</v>
      </c>
      <c r="K216" s="442">
        <v>7609.46</v>
      </c>
      <c r="L216" s="454">
        <v>338.38799999999998</v>
      </c>
      <c r="M216" s="454">
        <v>445.5</v>
      </c>
      <c r="N216" s="369">
        <v>44800</v>
      </c>
      <c r="O216" s="374">
        <v>93</v>
      </c>
      <c r="P216" s="374"/>
      <c r="Q216" s="367">
        <v>5</v>
      </c>
      <c r="R216" s="369">
        <v>44691</v>
      </c>
      <c r="S216" s="369">
        <v>45422</v>
      </c>
      <c r="T216" s="369">
        <v>45514</v>
      </c>
      <c r="U216" s="367"/>
      <c r="V216" s="367"/>
      <c r="W216" s="375" t="s">
        <v>2034</v>
      </c>
      <c r="X216" s="371">
        <v>33068755</v>
      </c>
      <c r="Y216" s="369" t="s">
        <v>1080</v>
      </c>
      <c r="Z216" s="369"/>
      <c r="AA216" s="376" t="s">
        <v>2075</v>
      </c>
      <c r="AB216" s="371">
        <v>84</v>
      </c>
      <c r="AC216" s="451">
        <v>1</v>
      </c>
      <c r="AD216" s="451"/>
      <c r="AE216" s="451">
        <v>273</v>
      </c>
      <c r="AF216" s="451"/>
      <c r="AG216" s="354" t="s">
        <v>2236</v>
      </c>
    </row>
    <row r="217" spans="1:33" x14ac:dyDescent="0.25">
      <c r="A217" s="424">
        <v>5</v>
      </c>
      <c r="B217" s="358" t="s">
        <v>1721</v>
      </c>
      <c r="C217" s="329">
        <v>44796</v>
      </c>
      <c r="D217" s="357" t="s">
        <v>452</v>
      </c>
      <c r="E217" s="357" t="s">
        <v>793</v>
      </c>
      <c r="F217" s="360" t="s">
        <v>1999</v>
      </c>
      <c r="G217" s="357" t="s">
        <v>790</v>
      </c>
      <c r="H217" s="377">
        <v>220240017482</v>
      </c>
      <c r="I217" s="361">
        <v>881590818</v>
      </c>
      <c r="J217" s="362">
        <v>6145.2</v>
      </c>
      <c r="K217" s="440">
        <v>2059.6</v>
      </c>
      <c r="L217" s="450">
        <v>216.9</v>
      </c>
      <c r="M217" s="450">
        <v>257.5</v>
      </c>
      <c r="N217" s="359">
        <v>44823</v>
      </c>
      <c r="O217" s="364">
        <v>68</v>
      </c>
      <c r="P217" s="364"/>
      <c r="Q217" s="357">
        <v>4</v>
      </c>
      <c r="R217" s="359">
        <v>44679</v>
      </c>
      <c r="S217" s="359">
        <v>45258</v>
      </c>
      <c r="T217" s="359">
        <v>45350</v>
      </c>
      <c r="U217" s="359" t="s">
        <v>2233</v>
      </c>
      <c r="V217" s="357"/>
      <c r="W217" s="365" t="s">
        <v>2000</v>
      </c>
      <c r="X217" s="361">
        <v>15542092</v>
      </c>
      <c r="Y217" s="359" t="s">
        <v>1175</v>
      </c>
      <c r="Z217" s="359"/>
      <c r="AA217" s="359" t="s">
        <v>2074</v>
      </c>
      <c r="AB217" s="364">
        <v>81</v>
      </c>
      <c r="AC217" s="449">
        <v>2</v>
      </c>
      <c r="AD217" s="449"/>
      <c r="AE217" s="449">
        <v>246</v>
      </c>
      <c r="AF217" s="449"/>
      <c r="AG217" s="354" t="s">
        <v>2236</v>
      </c>
    </row>
    <row r="218" spans="1:33" x14ac:dyDescent="0.25">
      <c r="A218" s="423">
        <v>6</v>
      </c>
      <c r="B218" s="346" t="s">
        <v>1239</v>
      </c>
      <c r="C218" s="321">
        <v>44939</v>
      </c>
      <c r="D218" s="378" t="s">
        <v>1179</v>
      </c>
      <c r="E218" s="379" t="s">
        <v>827</v>
      </c>
      <c r="F218" s="349" t="s">
        <v>1632</v>
      </c>
      <c r="G218" s="378" t="s">
        <v>1290</v>
      </c>
      <c r="H218" s="349" t="s">
        <v>1633</v>
      </c>
      <c r="I218" s="350">
        <v>6548335303</v>
      </c>
      <c r="J218" s="380">
        <v>30385.95</v>
      </c>
      <c r="K218" s="445">
        <v>17064.439999999999</v>
      </c>
      <c r="L218" s="448">
        <v>304.77300000000002</v>
      </c>
      <c r="M218" s="448">
        <v>393.23700000000002</v>
      </c>
      <c r="N218" s="347">
        <v>44959</v>
      </c>
      <c r="O218" s="356">
        <v>295</v>
      </c>
      <c r="P218" s="356"/>
      <c r="Q218" s="345" t="s">
        <v>1241</v>
      </c>
      <c r="R218" s="347">
        <v>44895</v>
      </c>
      <c r="S218" s="347">
        <v>45381</v>
      </c>
      <c r="T218" s="347">
        <v>45473</v>
      </c>
      <c r="U218" s="347">
        <v>45565</v>
      </c>
      <c r="V218" s="345"/>
      <c r="W218" s="347">
        <v>45565</v>
      </c>
      <c r="X218" s="353">
        <v>61057630</v>
      </c>
      <c r="Y218" s="347" t="s">
        <v>1313</v>
      </c>
      <c r="Z218" s="347"/>
      <c r="AA218" s="347" t="s">
        <v>2075</v>
      </c>
      <c r="AB218" s="353">
        <v>75</v>
      </c>
      <c r="AC218" s="448">
        <v>1</v>
      </c>
      <c r="AD218" s="448"/>
      <c r="AE218" s="448">
        <v>301</v>
      </c>
      <c r="AF218" s="448"/>
      <c r="AG218" s="354" t="s">
        <v>2236</v>
      </c>
    </row>
    <row r="219" spans="1:33" x14ac:dyDescent="0.25">
      <c r="A219" s="425">
        <v>7</v>
      </c>
      <c r="B219" s="368" t="s">
        <v>1537</v>
      </c>
      <c r="C219" s="330">
        <v>44978</v>
      </c>
      <c r="D219" s="367" t="s">
        <v>174</v>
      </c>
      <c r="E219" s="367" t="s">
        <v>1135</v>
      </c>
      <c r="F219" s="370" t="s">
        <v>1634</v>
      </c>
      <c r="G219" s="367" t="s">
        <v>1294</v>
      </c>
      <c r="H219" s="370" t="s">
        <v>1636</v>
      </c>
      <c r="I219" s="371">
        <v>2757296296</v>
      </c>
      <c r="J219" s="372">
        <v>9446.26</v>
      </c>
      <c r="K219" s="442">
        <v>6432.11</v>
      </c>
      <c r="L219" s="451">
        <v>291.89999999999998</v>
      </c>
      <c r="M219" s="451">
        <v>421.9</v>
      </c>
      <c r="N219" s="369">
        <v>44991</v>
      </c>
      <c r="O219" s="374">
        <v>103</v>
      </c>
      <c r="P219" s="374"/>
      <c r="Q219" s="367">
        <v>5</v>
      </c>
      <c r="R219" s="369">
        <v>44903</v>
      </c>
      <c r="S219" s="369">
        <v>45268</v>
      </c>
      <c r="T219" s="369">
        <v>45359</v>
      </c>
      <c r="U219" s="369">
        <v>45451</v>
      </c>
      <c r="V219" s="369">
        <v>45543</v>
      </c>
      <c r="W219" s="375" t="s">
        <v>2203</v>
      </c>
      <c r="X219" s="374">
        <v>24124259</v>
      </c>
      <c r="Y219" s="369" t="s">
        <v>1353</v>
      </c>
      <c r="Z219" s="369"/>
      <c r="AA219" s="376" t="s">
        <v>2078</v>
      </c>
      <c r="AB219" s="374">
        <v>85</v>
      </c>
      <c r="AC219" s="451">
        <v>3</v>
      </c>
      <c r="AD219" s="451"/>
      <c r="AE219" s="451">
        <v>327</v>
      </c>
      <c r="AF219" s="451"/>
      <c r="AG219" s="354" t="s">
        <v>2236</v>
      </c>
    </row>
    <row r="220" spans="1:33" x14ac:dyDescent="0.25">
      <c r="A220" s="424"/>
      <c r="B220" s="359" t="s">
        <v>2234</v>
      </c>
      <c r="C220" s="329">
        <v>44973</v>
      </c>
      <c r="D220" s="357" t="s">
        <v>1179</v>
      </c>
      <c r="E220" s="381" t="s">
        <v>711</v>
      </c>
      <c r="F220" s="389">
        <v>180440021488</v>
      </c>
      <c r="G220" s="381" t="s">
        <v>786</v>
      </c>
      <c r="H220" s="360" t="s">
        <v>1997</v>
      </c>
      <c r="I220" s="361">
        <v>2441858042</v>
      </c>
      <c r="J220" s="362">
        <v>0</v>
      </c>
      <c r="K220" s="440"/>
      <c r="L220" s="450" t="s">
        <v>28</v>
      </c>
      <c r="M220" s="450" t="s">
        <v>28</v>
      </c>
      <c r="N220" s="359">
        <v>45000</v>
      </c>
      <c r="O220" s="364">
        <v>0</v>
      </c>
      <c r="P220" s="364"/>
      <c r="Q220" s="357">
        <v>0</v>
      </c>
      <c r="R220" s="359">
        <v>44636</v>
      </c>
      <c r="S220" s="359">
        <v>45185</v>
      </c>
      <c r="T220" s="359">
        <v>45276</v>
      </c>
      <c r="U220" s="359">
        <v>45367</v>
      </c>
      <c r="V220" s="357"/>
      <c r="W220" s="365" t="s">
        <v>1737</v>
      </c>
      <c r="X220" s="364">
        <v>24418580</v>
      </c>
      <c r="Y220" s="366" t="s">
        <v>1768</v>
      </c>
      <c r="Z220" s="359"/>
      <c r="AA220" s="366" t="s">
        <v>2075</v>
      </c>
      <c r="AB220" s="364">
        <v>93</v>
      </c>
      <c r="AC220" s="449">
        <v>2</v>
      </c>
      <c r="AD220" s="449"/>
      <c r="AE220" s="449">
        <v>340</v>
      </c>
      <c r="AF220" s="449"/>
      <c r="AG220" s="354" t="s">
        <v>2236</v>
      </c>
    </row>
    <row r="221" spans="1:33" x14ac:dyDescent="0.25">
      <c r="A221" s="426">
        <v>8</v>
      </c>
      <c r="B221" s="382" t="s">
        <v>1196</v>
      </c>
      <c r="C221" s="331">
        <v>44992</v>
      </c>
      <c r="D221" s="383" t="s">
        <v>1179</v>
      </c>
      <c r="E221" s="383" t="s">
        <v>716</v>
      </c>
      <c r="F221" s="384">
        <v>960340000376</v>
      </c>
      <c r="G221" s="383" t="s">
        <v>883</v>
      </c>
      <c r="H221" s="383" t="s">
        <v>1620</v>
      </c>
      <c r="I221" s="385">
        <v>2596718603</v>
      </c>
      <c r="J221" s="386">
        <v>10209.6</v>
      </c>
      <c r="K221" s="443">
        <v>7356.9</v>
      </c>
      <c r="L221" s="452">
        <v>254.34100000000001</v>
      </c>
      <c r="M221" s="452">
        <v>390</v>
      </c>
      <c r="N221" s="388">
        <v>45016</v>
      </c>
      <c r="O221" s="387">
        <v>135</v>
      </c>
      <c r="P221" s="387"/>
      <c r="Q221" s="383">
        <v>16</v>
      </c>
      <c r="R221" s="388">
        <v>44853</v>
      </c>
      <c r="S221" s="388">
        <v>45370</v>
      </c>
      <c r="T221" s="387" t="s">
        <v>1772</v>
      </c>
      <c r="U221" s="387"/>
      <c r="V221" s="387"/>
      <c r="W221" s="388">
        <v>45735</v>
      </c>
      <c r="X221" s="387">
        <v>24521857</v>
      </c>
      <c r="Y221" s="388" t="s">
        <v>1385</v>
      </c>
      <c r="Z221" s="388"/>
      <c r="AA221" s="388" t="s">
        <v>2075</v>
      </c>
      <c r="AB221" s="387">
        <v>85</v>
      </c>
      <c r="AC221" s="452">
        <v>0</v>
      </c>
      <c r="AD221" s="452"/>
      <c r="AE221" s="452">
        <v>322</v>
      </c>
      <c r="AF221" s="452"/>
      <c r="AG221" s="354" t="s">
        <v>2236</v>
      </c>
    </row>
    <row r="222" spans="1:33" x14ac:dyDescent="0.25">
      <c r="A222" s="424">
        <v>9</v>
      </c>
      <c r="B222" s="358" t="s">
        <v>1344</v>
      </c>
      <c r="C222" s="329">
        <v>45023</v>
      </c>
      <c r="D222" s="357" t="s">
        <v>2071</v>
      </c>
      <c r="E222" s="381" t="s">
        <v>1400</v>
      </c>
      <c r="F222" s="389">
        <v>140740007872</v>
      </c>
      <c r="G222" s="381" t="s">
        <v>1401</v>
      </c>
      <c r="H222" s="377" t="s">
        <v>1998</v>
      </c>
      <c r="I222" s="361">
        <v>380442507</v>
      </c>
      <c r="J222" s="362">
        <v>2497.15</v>
      </c>
      <c r="K222" s="440">
        <v>1965.55</v>
      </c>
      <c r="L222" s="449">
        <v>152.351</v>
      </c>
      <c r="M222" s="449">
        <v>271.83300000000003</v>
      </c>
      <c r="N222" s="359">
        <v>45044</v>
      </c>
      <c r="O222" s="364">
        <v>60</v>
      </c>
      <c r="P222" s="364"/>
      <c r="Q222" s="357">
        <v>5</v>
      </c>
      <c r="R222" s="359">
        <v>44974</v>
      </c>
      <c r="S222" s="359">
        <v>45155</v>
      </c>
      <c r="T222" s="359">
        <v>45247</v>
      </c>
      <c r="U222" s="359">
        <v>45339</v>
      </c>
      <c r="V222" s="357" t="s">
        <v>1982</v>
      </c>
      <c r="W222" s="365" t="s">
        <v>1981</v>
      </c>
      <c r="X222" s="364">
        <v>3406925</v>
      </c>
      <c r="Y222" s="359" t="s">
        <v>1417</v>
      </c>
      <c r="Z222" s="359"/>
      <c r="AA222" s="359" t="s">
        <v>2074</v>
      </c>
      <c r="AB222" s="364">
        <v>89</v>
      </c>
      <c r="AC222" s="449">
        <v>3</v>
      </c>
      <c r="AD222" s="449"/>
      <c r="AE222" s="449">
        <v>354</v>
      </c>
      <c r="AF222" s="449"/>
      <c r="AG222" s="354" t="s">
        <v>2236</v>
      </c>
    </row>
    <row r="223" spans="1:33" x14ac:dyDescent="0.25">
      <c r="A223" s="424">
        <v>10</v>
      </c>
      <c r="B223" s="358" t="s">
        <v>1337</v>
      </c>
      <c r="C223" s="329">
        <v>45023</v>
      </c>
      <c r="D223" s="357" t="s">
        <v>1179</v>
      </c>
      <c r="E223" s="381" t="s">
        <v>791</v>
      </c>
      <c r="F223" s="389" t="s">
        <v>1621</v>
      </c>
      <c r="G223" s="381" t="s">
        <v>1402</v>
      </c>
      <c r="H223" s="377" t="s">
        <v>1622</v>
      </c>
      <c r="I223" s="361">
        <v>5965384158</v>
      </c>
      <c r="J223" s="362">
        <v>18957.580000000002</v>
      </c>
      <c r="K223" s="440">
        <v>14731.84</v>
      </c>
      <c r="L223" s="449">
        <v>314.67</v>
      </c>
      <c r="M223" s="449">
        <v>395.822</v>
      </c>
      <c r="N223" s="359">
        <v>45063</v>
      </c>
      <c r="O223" s="364">
        <v>206</v>
      </c>
      <c r="P223" s="364"/>
      <c r="Q223" s="357">
        <v>9</v>
      </c>
      <c r="R223" s="359">
        <v>44945</v>
      </c>
      <c r="S223" s="359">
        <v>45370</v>
      </c>
      <c r="T223" s="359">
        <v>45462</v>
      </c>
      <c r="U223" s="359">
        <v>45554</v>
      </c>
      <c r="V223" s="357"/>
      <c r="W223" s="365" t="s">
        <v>2068</v>
      </c>
      <c r="X223" s="364">
        <v>58254179</v>
      </c>
      <c r="Y223" s="359" t="s">
        <v>1429</v>
      </c>
      <c r="Z223" s="359"/>
      <c r="AA223" s="359" t="s">
        <v>2075</v>
      </c>
      <c r="AB223" s="364">
        <v>68</v>
      </c>
      <c r="AC223" s="449">
        <v>1</v>
      </c>
      <c r="AD223" s="449">
        <v>0</v>
      </c>
      <c r="AE223" s="449">
        <v>347</v>
      </c>
      <c r="AF223" s="449"/>
      <c r="AG223" s="354" t="s">
        <v>2236</v>
      </c>
    </row>
    <row r="224" spans="1:33" x14ac:dyDescent="0.25">
      <c r="A224" s="424"/>
      <c r="B224" s="358" t="s">
        <v>2235</v>
      </c>
      <c r="C224" s="329">
        <v>45288</v>
      </c>
      <c r="D224" s="357" t="s">
        <v>1179</v>
      </c>
      <c r="E224" s="381" t="s">
        <v>791</v>
      </c>
      <c r="F224" s="389" t="s">
        <v>1621</v>
      </c>
      <c r="G224" s="381" t="s">
        <v>1402</v>
      </c>
      <c r="H224" s="377" t="s">
        <v>1622</v>
      </c>
      <c r="I224" s="361">
        <v>219185995</v>
      </c>
      <c r="J224" s="362"/>
      <c r="K224" s="440"/>
      <c r="L224" s="449">
        <v>394.928</v>
      </c>
      <c r="M224" s="449">
        <v>395.517</v>
      </c>
      <c r="N224" s="359">
        <v>45310</v>
      </c>
      <c r="O224" s="364"/>
      <c r="P224" s="364"/>
      <c r="Q224" s="357" t="s">
        <v>28</v>
      </c>
      <c r="R224" s="359">
        <v>45134</v>
      </c>
      <c r="S224" s="359">
        <v>45370</v>
      </c>
      <c r="T224" s="359">
        <v>45462</v>
      </c>
      <c r="U224" s="359">
        <v>45554</v>
      </c>
      <c r="V224" s="357"/>
      <c r="W224" s="365" t="s">
        <v>2068</v>
      </c>
      <c r="X224" s="364">
        <v>2191860</v>
      </c>
      <c r="Y224" s="359"/>
      <c r="Z224" s="359"/>
      <c r="AA224" s="359" t="s">
        <v>2075</v>
      </c>
      <c r="AB224" s="364">
        <v>68</v>
      </c>
      <c r="AC224" s="449">
        <v>1</v>
      </c>
      <c r="AD224" s="449"/>
      <c r="AE224" s="449"/>
      <c r="AF224" s="449"/>
      <c r="AG224" s="354" t="s">
        <v>2236</v>
      </c>
    </row>
    <row r="225" spans="1:33" x14ac:dyDescent="0.25">
      <c r="A225" s="423">
        <v>11</v>
      </c>
      <c r="B225" s="346" t="s">
        <v>1346</v>
      </c>
      <c r="C225" s="321">
        <v>45051</v>
      </c>
      <c r="D225" s="378" t="s">
        <v>1179</v>
      </c>
      <c r="E225" s="345" t="s">
        <v>791</v>
      </c>
      <c r="F225" s="349" t="s">
        <v>1621</v>
      </c>
      <c r="G225" s="345" t="s">
        <v>1407</v>
      </c>
      <c r="H225" s="349" t="s">
        <v>1623</v>
      </c>
      <c r="I225" s="350">
        <v>6608817195</v>
      </c>
      <c r="J225" s="351">
        <v>20565.12</v>
      </c>
      <c r="K225" s="444">
        <v>16685.12</v>
      </c>
      <c r="L225" s="448">
        <v>321.36099999999999</v>
      </c>
      <c r="M225" s="448">
        <v>440</v>
      </c>
      <c r="N225" s="347">
        <v>45077</v>
      </c>
      <c r="O225" s="390">
        <v>278</v>
      </c>
      <c r="P225" s="390"/>
      <c r="Q225" s="345">
        <v>20</v>
      </c>
      <c r="R225" s="347">
        <v>44981</v>
      </c>
      <c r="S225" s="347">
        <v>45620</v>
      </c>
      <c r="T225" s="353"/>
      <c r="U225" s="347"/>
      <c r="V225" s="345"/>
      <c r="W225" s="347">
        <v>45620</v>
      </c>
      <c r="X225" s="353">
        <v>66088172</v>
      </c>
      <c r="Y225" s="347" t="s">
        <v>1438</v>
      </c>
      <c r="Z225" s="347"/>
      <c r="AA225" s="347" t="s">
        <v>2075</v>
      </c>
      <c r="AB225" s="353">
        <v>92</v>
      </c>
      <c r="AC225" s="448">
        <v>0</v>
      </c>
      <c r="AD225" s="448">
        <v>0</v>
      </c>
      <c r="AE225" s="448">
        <v>368</v>
      </c>
      <c r="AF225" s="448"/>
      <c r="AG225" s="354" t="s">
        <v>2236</v>
      </c>
    </row>
    <row r="226" spans="1:33" x14ac:dyDescent="0.25">
      <c r="A226" s="424">
        <v>12</v>
      </c>
      <c r="B226" s="358" t="s">
        <v>1408</v>
      </c>
      <c r="C226" s="329">
        <v>45104</v>
      </c>
      <c r="D226" s="357" t="s">
        <v>1179</v>
      </c>
      <c r="E226" s="357" t="s">
        <v>1454</v>
      </c>
      <c r="F226" s="360" t="s">
        <v>1630</v>
      </c>
      <c r="G226" s="357" t="s">
        <v>1453</v>
      </c>
      <c r="H226" s="360" t="s">
        <v>1631</v>
      </c>
      <c r="I226" s="364">
        <v>3834322743</v>
      </c>
      <c r="J226" s="391">
        <v>12795</v>
      </c>
      <c r="K226" s="441">
        <v>9388.5</v>
      </c>
      <c r="L226" s="449">
        <v>299.67399999999998</v>
      </c>
      <c r="M226" s="449">
        <v>440</v>
      </c>
      <c r="N226" s="366">
        <v>45126</v>
      </c>
      <c r="O226" s="357">
        <v>161</v>
      </c>
      <c r="P226" s="357"/>
      <c r="Q226" s="357">
        <v>24</v>
      </c>
      <c r="R226" s="359">
        <v>45027</v>
      </c>
      <c r="S226" s="359">
        <v>45454</v>
      </c>
      <c r="T226" s="359">
        <v>45546</v>
      </c>
      <c r="U226" s="359"/>
      <c r="V226" s="357"/>
      <c r="W226" s="365" t="s">
        <v>2021</v>
      </c>
      <c r="X226" s="364">
        <v>33018568</v>
      </c>
      <c r="Y226" s="359" t="s">
        <v>1542</v>
      </c>
      <c r="Z226" s="359"/>
      <c r="AA226" s="366" t="s">
        <v>2075</v>
      </c>
      <c r="AB226" s="364">
        <v>66</v>
      </c>
      <c r="AC226" s="449">
        <v>1</v>
      </c>
      <c r="AD226" s="449">
        <v>0</v>
      </c>
      <c r="AE226" s="449">
        <v>362</v>
      </c>
      <c r="AF226" s="449"/>
      <c r="AG226" s="354" t="s">
        <v>2236</v>
      </c>
    </row>
    <row r="227" spans="1:33" x14ac:dyDescent="0.25">
      <c r="A227" s="423">
        <v>13</v>
      </c>
      <c r="B227" s="346" t="s">
        <v>2007</v>
      </c>
      <c r="C227" s="321">
        <v>45111</v>
      </c>
      <c r="D227" s="378" t="s">
        <v>23</v>
      </c>
      <c r="E227" s="345" t="s">
        <v>817</v>
      </c>
      <c r="F227" s="349" t="s">
        <v>1628</v>
      </c>
      <c r="G227" s="345" t="s">
        <v>1455</v>
      </c>
      <c r="H227" s="349" t="s">
        <v>1629</v>
      </c>
      <c r="I227" s="353">
        <v>11378893818</v>
      </c>
      <c r="J227" s="392">
        <v>26579</v>
      </c>
      <c r="K227" s="438">
        <v>20305.2</v>
      </c>
      <c r="L227" s="448">
        <v>428.11500000000001</v>
      </c>
      <c r="M227" s="448">
        <v>563.66099999999994</v>
      </c>
      <c r="N227" s="347">
        <v>45127</v>
      </c>
      <c r="O227" s="378">
        <v>381</v>
      </c>
      <c r="P227" s="378"/>
      <c r="Q227" s="345">
        <v>9</v>
      </c>
      <c r="R227" s="347">
        <v>45014</v>
      </c>
      <c r="S227" s="347">
        <v>45564</v>
      </c>
      <c r="T227" s="353"/>
      <c r="U227" s="347"/>
      <c r="V227" s="345"/>
      <c r="W227" s="347">
        <v>45564</v>
      </c>
      <c r="X227" s="353">
        <v>100323683</v>
      </c>
      <c r="Y227" s="347" t="s">
        <v>1544</v>
      </c>
      <c r="Z227" s="347"/>
      <c r="AA227" s="393" t="s">
        <v>2076</v>
      </c>
      <c r="AB227" s="353">
        <v>63</v>
      </c>
      <c r="AC227" s="448">
        <v>0</v>
      </c>
      <c r="AD227" s="448">
        <v>0</v>
      </c>
      <c r="AE227" s="448">
        <v>393</v>
      </c>
      <c r="AF227" s="448"/>
      <c r="AG227" s="354" t="s">
        <v>2236</v>
      </c>
    </row>
    <row r="228" spans="1:33" x14ac:dyDescent="0.25">
      <c r="A228" s="423">
        <v>14</v>
      </c>
      <c r="B228" s="346" t="s">
        <v>1564</v>
      </c>
      <c r="C228" s="321">
        <v>45125</v>
      </c>
      <c r="D228" s="378" t="s">
        <v>1975</v>
      </c>
      <c r="E228" s="345" t="s">
        <v>758</v>
      </c>
      <c r="F228" s="349" t="s">
        <v>1645</v>
      </c>
      <c r="G228" s="345" t="s">
        <v>1412</v>
      </c>
      <c r="H228" s="349" t="s">
        <v>1646</v>
      </c>
      <c r="I228" s="353">
        <v>2953550085</v>
      </c>
      <c r="J228" s="392">
        <v>14028.4</v>
      </c>
      <c r="K228" s="438">
        <v>9219.4</v>
      </c>
      <c r="L228" s="448">
        <v>263.93299999999999</v>
      </c>
      <c r="M228" s="448">
        <v>289.37099999999998</v>
      </c>
      <c r="N228" s="347">
        <v>45156</v>
      </c>
      <c r="O228" s="378">
        <v>210</v>
      </c>
      <c r="P228" s="378"/>
      <c r="Q228" s="345">
        <v>5</v>
      </c>
      <c r="R228" s="347">
        <v>45005</v>
      </c>
      <c r="S228" s="347">
        <v>45588</v>
      </c>
      <c r="T228" s="353"/>
      <c r="U228" s="347"/>
      <c r="V228" s="345"/>
      <c r="W228" s="347">
        <v>45588</v>
      </c>
      <c r="X228" s="353">
        <v>22334217</v>
      </c>
      <c r="Y228" s="347" t="s">
        <v>1548</v>
      </c>
      <c r="Z228" s="347"/>
      <c r="AA228" s="347" t="s">
        <v>2074</v>
      </c>
      <c r="AB228" s="353">
        <v>86</v>
      </c>
      <c r="AC228" s="448">
        <v>0</v>
      </c>
      <c r="AD228" s="448">
        <v>1</v>
      </c>
      <c r="AE228" s="448">
        <v>401</v>
      </c>
      <c r="AF228" s="448"/>
      <c r="AG228" s="354" t="s">
        <v>2236</v>
      </c>
    </row>
    <row r="229" spans="1:33" x14ac:dyDescent="0.25">
      <c r="A229" s="423">
        <v>15</v>
      </c>
      <c r="B229" s="346" t="s">
        <v>1560</v>
      </c>
      <c r="C229" s="321">
        <v>45139</v>
      </c>
      <c r="D229" s="345" t="s">
        <v>2072</v>
      </c>
      <c r="E229" s="345" t="s">
        <v>1557</v>
      </c>
      <c r="F229" s="349" t="s">
        <v>1641</v>
      </c>
      <c r="G229" s="345" t="s">
        <v>1581</v>
      </c>
      <c r="H229" s="349" t="s">
        <v>1642</v>
      </c>
      <c r="I229" s="353">
        <v>4916104675</v>
      </c>
      <c r="J229" s="392">
        <v>15148.34</v>
      </c>
      <c r="K229" s="438">
        <v>13381.08</v>
      </c>
      <c r="L229" s="448">
        <v>324.53100000000001</v>
      </c>
      <c r="M229" s="448">
        <v>450</v>
      </c>
      <c r="N229" s="347">
        <v>45156</v>
      </c>
      <c r="O229" s="345">
        <v>216</v>
      </c>
      <c r="P229" s="345"/>
      <c r="Q229" s="345">
        <v>4</v>
      </c>
      <c r="R229" s="347">
        <v>45112</v>
      </c>
      <c r="S229" s="347">
        <v>45356</v>
      </c>
      <c r="T229" s="347">
        <v>45448</v>
      </c>
      <c r="U229" s="347">
        <v>45540</v>
      </c>
      <c r="V229" s="345"/>
      <c r="W229" s="347">
        <v>45540</v>
      </c>
      <c r="X229" s="353">
        <v>44559067.490000002</v>
      </c>
      <c r="Y229" s="347" t="s">
        <v>1563</v>
      </c>
      <c r="Z229" s="347"/>
      <c r="AA229" s="393" t="s">
        <v>2076</v>
      </c>
      <c r="AB229" s="353">
        <v>79</v>
      </c>
      <c r="AC229" s="448">
        <v>1</v>
      </c>
      <c r="AD229" s="448">
        <v>1</v>
      </c>
      <c r="AE229" s="448">
        <v>388</v>
      </c>
      <c r="AF229" s="448"/>
      <c r="AG229" s="354" t="s">
        <v>2236</v>
      </c>
    </row>
    <row r="230" spans="1:33" x14ac:dyDescent="0.25">
      <c r="A230" s="423">
        <v>16</v>
      </c>
      <c r="B230" s="346" t="s">
        <v>2008</v>
      </c>
      <c r="C230" s="321">
        <v>45153</v>
      </c>
      <c r="D230" s="378" t="s">
        <v>1179</v>
      </c>
      <c r="E230" s="345" t="s">
        <v>1513</v>
      </c>
      <c r="F230" s="349" t="s">
        <v>1652</v>
      </c>
      <c r="G230" s="345" t="s">
        <v>1578</v>
      </c>
      <c r="H230" s="349" t="s">
        <v>1625</v>
      </c>
      <c r="I230" s="353">
        <v>4002124719</v>
      </c>
      <c r="J230" s="392">
        <v>14200.88</v>
      </c>
      <c r="K230" s="438">
        <v>8791.9699999999993</v>
      </c>
      <c r="L230" s="448">
        <v>403.66199999999998</v>
      </c>
      <c r="M230" s="448">
        <v>458.76</v>
      </c>
      <c r="N230" s="347">
        <v>45177</v>
      </c>
      <c r="O230" s="378">
        <v>117</v>
      </c>
      <c r="P230" s="378"/>
      <c r="Q230" s="345">
        <v>9.18</v>
      </c>
      <c r="R230" s="347">
        <v>45083</v>
      </c>
      <c r="S230" s="347">
        <v>45632</v>
      </c>
      <c r="T230" s="353"/>
      <c r="U230" s="347"/>
      <c r="V230" s="345"/>
      <c r="W230" s="347">
        <v>45632</v>
      </c>
      <c r="X230" s="353">
        <v>32891558</v>
      </c>
      <c r="Y230" s="347" t="s">
        <v>1570</v>
      </c>
      <c r="Z230" s="347"/>
      <c r="AA230" s="347" t="s">
        <v>2075</v>
      </c>
      <c r="AB230" s="353">
        <v>65</v>
      </c>
      <c r="AC230" s="448">
        <v>0</v>
      </c>
      <c r="AD230" s="448">
        <v>1</v>
      </c>
      <c r="AE230" s="448">
        <v>406</v>
      </c>
      <c r="AF230" s="448"/>
      <c r="AG230" s="354" t="s">
        <v>2236</v>
      </c>
    </row>
    <row r="231" spans="1:33" x14ac:dyDescent="0.25">
      <c r="A231" s="423">
        <v>17</v>
      </c>
      <c r="B231" s="346" t="s">
        <v>1553</v>
      </c>
      <c r="C231" s="321">
        <v>45181</v>
      </c>
      <c r="D231" s="378" t="s">
        <v>1975</v>
      </c>
      <c r="E231" s="345" t="s">
        <v>758</v>
      </c>
      <c r="F231" s="349" t="s">
        <v>1645</v>
      </c>
      <c r="G231" s="345" t="s">
        <v>1412</v>
      </c>
      <c r="H231" s="349" t="s">
        <v>1646</v>
      </c>
      <c r="I231" s="353">
        <v>2623982344</v>
      </c>
      <c r="J231" s="392">
        <v>11041.2</v>
      </c>
      <c r="K231" s="438">
        <v>7287.6</v>
      </c>
      <c r="L231" s="448">
        <v>237.654</v>
      </c>
      <c r="M231" s="448">
        <v>314.971</v>
      </c>
      <c r="N231" s="347">
        <v>45197</v>
      </c>
      <c r="O231" s="378">
        <v>140</v>
      </c>
      <c r="P231" s="378"/>
      <c r="Q231" s="345">
        <v>5</v>
      </c>
      <c r="R231" s="347">
        <v>45142</v>
      </c>
      <c r="S231" s="347">
        <v>45630</v>
      </c>
      <c r="T231" s="353"/>
      <c r="U231" s="347"/>
      <c r="V231" s="345"/>
      <c r="W231" s="347">
        <v>45630</v>
      </c>
      <c r="X231" s="353">
        <v>15415734</v>
      </c>
      <c r="Y231" s="347" t="s">
        <v>1770</v>
      </c>
      <c r="Z231" s="347"/>
      <c r="AA231" s="347" t="s">
        <v>2074</v>
      </c>
      <c r="AB231" s="353">
        <v>81</v>
      </c>
      <c r="AC231" s="448">
        <v>0</v>
      </c>
      <c r="AD231" s="448">
        <v>1</v>
      </c>
      <c r="AE231" s="448">
        <v>419</v>
      </c>
      <c r="AF231" s="448"/>
      <c r="AG231" s="354" t="s">
        <v>2236</v>
      </c>
    </row>
    <row r="232" spans="1:33" x14ac:dyDescent="0.25">
      <c r="A232" s="423">
        <v>18</v>
      </c>
      <c r="B232" s="346" t="s">
        <v>2009</v>
      </c>
      <c r="C232" s="321">
        <v>45188</v>
      </c>
      <c r="D232" s="345" t="s">
        <v>760</v>
      </c>
      <c r="E232" s="345" t="s">
        <v>1456</v>
      </c>
      <c r="F232" s="349" t="s">
        <v>1653</v>
      </c>
      <c r="G232" s="345" t="s">
        <v>1457</v>
      </c>
      <c r="H232" s="349" t="s">
        <v>1651</v>
      </c>
      <c r="I232" s="353">
        <v>1802298543</v>
      </c>
      <c r="J232" s="392">
        <v>6888.13</v>
      </c>
      <c r="K232" s="438">
        <v>5523.29</v>
      </c>
      <c r="L232" s="448">
        <v>261.65199999999999</v>
      </c>
      <c r="M232" s="448">
        <v>376.66699999999997</v>
      </c>
      <c r="N232" s="347">
        <v>45210</v>
      </c>
      <c r="O232" s="378">
        <v>63</v>
      </c>
      <c r="P232" s="378"/>
      <c r="Q232" s="345">
        <v>9</v>
      </c>
      <c r="R232" s="347">
        <v>45159</v>
      </c>
      <c r="S232" s="347">
        <v>45556</v>
      </c>
      <c r="T232" s="347">
        <v>45647</v>
      </c>
      <c r="U232" s="347"/>
      <c r="V232" s="345"/>
      <c r="W232" s="347">
        <v>45647</v>
      </c>
      <c r="X232" s="353">
        <v>14849026</v>
      </c>
      <c r="Y232" s="347" t="s">
        <v>1596</v>
      </c>
      <c r="Z232" s="347"/>
      <c r="AA232" s="347" t="s">
        <v>2075</v>
      </c>
      <c r="AB232" s="353">
        <v>66</v>
      </c>
      <c r="AC232" s="448">
        <v>0</v>
      </c>
      <c r="AD232" s="448">
        <v>1</v>
      </c>
      <c r="AE232" s="448">
        <v>426</v>
      </c>
      <c r="AF232" s="448"/>
      <c r="AG232" s="354" t="s">
        <v>2236</v>
      </c>
    </row>
    <row r="233" spans="1:33" x14ac:dyDescent="0.25">
      <c r="A233" s="424">
        <v>19</v>
      </c>
      <c r="B233" s="358" t="s">
        <v>1556</v>
      </c>
      <c r="C233" s="329">
        <v>45188</v>
      </c>
      <c r="D233" s="357" t="s">
        <v>1975</v>
      </c>
      <c r="E233" s="381" t="s">
        <v>758</v>
      </c>
      <c r="F233" s="389" t="s">
        <v>1645</v>
      </c>
      <c r="G233" s="381" t="s">
        <v>1412</v>
      </c>
      <c r="H233" s="377" t="s">
        <v>1646</v>
      </c>
      <c r="I233" s="361">
        <v>1635711572</v>
      </c>
      <c r="J233" s="362">
        <v>6384.3</v>
      </c>
      <c r="K233" s="440">
        <v>4479.5</v>
      </c>
      <c r="L233" s="449">
        <v>256.20800000000003</v>
      </c>
      <c r="M233" s="449">
        <v>309.40899999999999</v>
      </c>
      <c r="N233" s="359">
        <v>45217</v>
      </c>
      <c r="O233" s="364">
        <v>110</v>
      </c>
      <c r="P233" s="364"/>
      <c r="Q233" s="357">
        <v>5</v>
      </c>
      <c r="R233" s="359">
        <v>45156</v>
      </c>
      <c r="S233" s="359">
        <v>45522</v>
      </c>
      <c r="T233" s="359">
        <v>45614</v>
      </c>
      <c r="U233" s="359"/>
      <c r="V233" s="357"/>
      <c r="W233" s="365" t="s">
        <v>2216</v>
      </c>
      <c r="X233" s="364">
        <v>9595485</v>
      </c>
      <c r="Y233" s="359" t="s">
        <v>1771</v>
      </c>
      <c r="Z233" s="359"/>
      <c r="AA233" s="359" t="s">
        <v>2074</v>
      </c>
      <c r="AB233" s="364">
        <v>81</v>
      </c>
      <c r="AC233" s="449">
        <v>1</v>
      </c>
      <c r="AD233" s="449">
        <v>1</v>
      </c>
      <c r="AE233" s="449">
        <v>422</v>
      </c>
      <c r="AF233" s="449"/>
      <c r="AG233" s="354" t="s">
        <v>2236</v>
      </c>
    </row>
    <row r="234" spans="1:33" x14ac:dyDescent="0.25">
      <c r="A234" s="425">
        <v>20</v>
      </c>
      <c r="B234" s="368" t="s">
        <v>1752</v>
      </c>
      <c r="C234" s="330">
        <v>45188</v>
      </c>
      <c r="D234" s="367" t="s">
        <v>1976</v>
      </c>
      <c r="E234" s="367" t="s">
        <v>1400</v>
      </c>
      <c r="F234" s="394">
        <v>140740007872</v>
      </c>
      <c r="G234" s="367" t="s">
        <v>1554</v>
      </c>
      <c r="H234" s="370" t="s">
        <v>1650</v>
      </c>
      <c r="I234" s="374">
        <v>1088278078</v>
      </c>
      <c r="J234" s="395">
        <v>5851.02</v>
      </c>
      <c r="K234" s="447">
        <v>3760.1</v>
      </c>
      <c r="L234" s="451">
        <v>289.428</v>
      </c>
      <c r="M234" s="451">
        <v>314.459</v>
      </c>
      <c r="N234" s="369">
        <v>45217</v>
      </c>
      <c r="O234" s="367">
        <v>119</v>
      </c>
      <c r="P234" s="367"/>
      <c r="Q234" s="367">
        <v>12</v>
      </c>
      <c r="R234" s="369">
        <v>45131</v>
      </c>
      <c r="S234" s="369">
        <v>45436</v>
      </c>
      <c r="T234" s="375" t="s">
        <v>1785</v>
      </c>
      <c r="U234" s="369"/>
      <c r="V234" s="367"/>
      <c r="W234" s="396">
        <v>45492</v>
      </c>
      <c r="X234" s="374">
        <v>9145815</v>
      </c>
      <c r="Y234" s="369" t="s">
        <v>1607</v>
      </c>
      <c r="Z234" s="369"/>
      <c r="AA234" s="373" t="s">
        <v>2074</v>
      </c>
      <c r="AB234" s="374">
        <v>77</v>
      </c>
      <c r="AC234" s="451">
        <v>0</v>
      </c>
      <c r="AD234" s="451">
        <v>1</v>
      </c>
      <c r="AE234" s="451">
        <v>421</v>
      </c>
      <c r="AF234" s="451"/>
      <c r="AG234" s="354" t="s">
        <v>2236</v>
      </c>
    </row>
    <row r="235" spans="1:33" x14ac:dyDescent="0.25">
      <c r="A235" s="423">
        <v>21</v>
      </c>
      <c r="B235" s="346" t="s">
        <v>1616</v>
      </c>
      <c r="C235" s="321">
        <v>45197</v>
      </c>
      <c r="D235" s="345" t="s">
        <v>452</v>
      </c>
      <c r="E235" s="345" t="s">
        <v>1567</v>
      </c>
      <c r="F235" s="349" t="s">
        <v>1648</v>
      </c>
      <c r="G235" s="345" t="s">
        <v>1568</v>
      </c>
      <c r="H235" s="349" t="s">
        <v>1649</v>
      </c>
      <c r="I235" s="353">
        <v>3185310492</v>
      </c>
      <c r="J235" s="392">
        <v>11855.25</v>
      </c>
      <c r="K235" s="438">
        <v>8687.7000000000007</v>
      </c>
      <c r="L235" s="448">
        <v>268.68400000000003</v>
      </c>
      <c r="M235" s="448">
        <v>367</v>
      </c>
      <c r="N235" s="347">
        <v>45222</v>
      </c>
      <c r="O235" s="378">
        <v>174</v>
      </c>
      <c r="P235" s="378"/>
      <c r="Q235" s="345">
        <v>5</v>
      </c>
      <c r="R235" s="347">
        <v>45148</v>
      </c>
      <c r="S235" s="347">
        <v>45483</v>
      </c>
      <c r="T235" s="347">
        <v>45575</v>
      </c>
      <c r="U235" s="347"/>
      <c r="V235" s="345"/>
      <c r="W235" s="347">
        <v>45575</v>
      </c>
      <c r="X235" s="353">
        <v>31853105</v>
      </c>
      <c r="Y235" s="347" t="s">
        <v>1610</v>
      </c>
      <c r="Z235" s="347"/>
      <c r="AA235" s="347" t="s">
        <v>2074</v>
      </c>
      <c r="AB235" s="353">
        <v>63</v>
      </c>
      <c r="AC235" s="448">
        <v>0</v>
      </c>
      <c r="AD235" s="448">
        <v>0</v>
      </c>
      <c r="AE235" s="448">
        <v>428</v>
      </c>
      <c r="AF235" s="448"/>
      <c r="AG235" s="354" t="s">
        <v>2236</v>
      </c>
    </row>
    <row r="236" spans="1:33" x14ac:dyDescent="0.25">
      <c r="A236" s="423">
        <v>22</v>
      </c>
      <c r="B236" s="346" t="s">
        <v>1593</v>
      </c>
      <c r="C236" s="321">
        <v>45237</v>
      </c>
      <c r="D236" s="345" t="s">
        <v>1179</v>
      </c>
      <c r="E236" s="345" t="s">
        <v>974</v>
      </c>
      <c r="F236" s="349" t="s">
        <v>1654</v>
      </c>
      <c r="G236" s="349" t="s">
        <v>1587</v>
      </c>
      <c r="H236" s="349" t="s">
        <v>1777</v>
      </c>
      <c r="I236" s="353">
        <v>9176506252</v>
      </c>
      <c r="J236" s="392">
        <v>28301.1</v>
      </c>
      <c r="K236" s="438">
        <v>18053.2</v>
      </c>
      <c r="L236" s="448">
        <v>324.245</v>
      </c>
      <c r="M236" s="448">
        <v>460.00315000000001</v>
      </c>
      <c r="N236" s="347">
        <v>45251</v>
      </c>
      <c r="O236" s="457">
        <v>264</v>
      </c>
      <c r="P236" s="345"/>
      <c r="Q236" s="345" t="s">
        <v>2001</v>
      </c>
      <c r="R236" s="347">
        <v>45191</v>
      </c>
      <c r="S236" s="347">
        <v>45465</v>
      </c>
      <c r="T236" s="347">
        <v>45557</v>
      </c>
      <c r="U236" s="347">
        <v>45648</v>
      </c>
      <c r="V236" s="345"/>
      <c r="W236" s="347">
        <v>45648</v>
      </c>
      <c r="X236" s="353">
        <v>77965811.790000007</v>
      </c>
      <c r="Y236" s="347" t="s">
        <v>1659</v>
      </c>
      <c r="Z236" s="347"/>
      <c r="AA236" s="347" t="s">
        <v>2075</v>
      </c>
      <c r="AB236" s="353">
        <v>78</v>
      </c>
      <c r="AC236" s="448">
        <v>1</v>
      </c>
      <c r="AD236" s="448">
        <v>1</v>
      </c>
      <c r="AE236" s="448">
        <v>445</v>
      </c>
      <c r="AF236" s="448" t="s">
        <v>1731</v>
      </c>
      <c r="AG236" s="354" t="s">
        <v>2236</v>
      </c>
    </row>
    <row r="237" spans="1:33" x14ac:dyDescent="0.25">
      <c r="A237" s="424">
        <v>23</v>
      </c>
      <c r="B237" s="358" t="s">
        <v>1774</v>
      </c>
      <c r="C237" s="329">
        <v>45267</v>
      </c>
      <c r="D237" s="357" t="s">
        <v>174</v>
      </c>
      <c r="E237" s="357" t="s">
        <v>699</v>
      </c>
      <c r="F237" s="360" t="s">
        <v>1626</v>
      </c>
      <c r="G237" s="360" t="s">
        <v>1592</v>
      </c>
      <c r="H237" s="360" t="s">
        <v>1663</v>
      </c>
      <c r="I237" s="364">
        <v>6804685307</v>
      </c>
      <c r="J237" s="391">
        <v>17783.169999999998</v>
      </c>
      <c r="K237" s="441">
        <v>10454</v>
      </c>
      <c r="L237" s="449">
        <v>382.64699999999999</v>
      </c>
      <c r="M237" s="449">
        <v>440</v>
      </c>
      <c r="N237" s="359">
        <v>45288</v>
      </c>
      <c r="O237" s="357">
        <v>192</v>
      </c>
      <c r="P237" s="357"/>
      <c r="Q237" s="357">
        <v>9</v>
      </c>
      <c r="R237" s="359">
        <v>45198</v>
      </c>
      <c r="S237" s="359">
        <v>45533</v>
      </c>
      <c r="T237" s="364"/>
      <c r="U237" s="359"/>
      <c r="V237" s="357"/>
      <c r="W237" s="365" t="s">
        <v>2062</v>
      </c>
      <c r="X237" s="364">
        <v>61009602.270000003</v>
      </c>
      <c r="Y237" s="359" t="s">
        <v>1671</v>
      </c>
      <c r="Z237" s="359"/>
      <c r="AA237" s="363" t="s">
        <v>2078</v>
      </c>
      <c r="AB237" s="364">
        <v>73</v>
      </c>
      <c r="AC237" s="449">
        <v>0</v>
      </c>
      <c r="AD237" s="449">
        <v>1</v>
      </c>
      <c r="AE237" s="449">
        <v>455</v>
      </c>
      <c r="AF237" s="449" t="s">
        <v>1731</v>
      </c>
      <c r="AG237" s="354" t="s">
        <v>2236</v>
      </c>
    </row>
    <row r="238" spans="1:33" x14ac:dyDescent="0.25">
      <c r="A238" s="423">
        <v>24</v>
      </c>
      <c r="B238" s="346" t="s">
        <v>1609</v>
      </c>
      <c r="C238" s="321">
        <v>45272</v>
      </c>
      <c r="D238" s="345" t="s">
        <v>1179</v>
      </c>
      <c r="E238" s="345" t="s">
        <v>974</v>
      </c>
      <c r="F238" s="349" t="s">
        <v>1654</v>
      </c>
      <c r="G238" s="349" t="s">
        <v>1608</v>
      </c>
      <c r="H238" s="349" t="s">
        <v>1664</v>
      </c>
      <c r="I238" s="353">
        <v>15986084547.473101</v>
      </c>
      <c r="J238" s="392">
        <v>110897.01</v>
      </c>
      <c r="K238" s="438">
        <v>48140.85</v>
      </c>
      <c r="L238" s="448">
        <v>144.15299999999999</v>
      </c>
      <c r="M238" s="448">
        <v>374.57</v>
      </c>
      <c r="N238" s="347">
        <v>45288</v>
      </c>
      <c r="O238" s="345">
        <v>793</v>
      </c>
      <c r="P238" s="345"/>
      <c r="Q238" s="345" t="s">
        <v>1662</v>
      </c>
      <c r="R238" s="347">
        <v>45191</v>
      </c>
      <c r="S238" s="347">
        <v>45891</v>
      </c>
      <c r="T238" s="353"/>
      <c r="U238" s="347"/>
      <c r="V238" s="345"/>
      <c r="W238" s="347">
        <v>45891</v>
      </c>
      <c r="X238" s="353">
        <v>155781591.36000001</v>
      </c>
      <c r="Y238" s="347" t="s">
        <v>1672</v>
      </c>
      <c r="Z238" s="347"/>
      <c r="AA238" s="347" t="s">
        <v>2075</v>
      </c>
      <c r="AB238" s="353">
        <v>83</v>
      </c>
      <c r="AC238" s="448">
        <v>0</v>
      </c>
      <c r="AD238" s="448">
        <v>1</v>
      </c>
      <c r="AE238" s="448">
        <v>450</v>
      </c>
      <c r="AF238" s="448" t="s">
        <v>1731</v>
      </c>
      <c r="AG238" s="354" t="s">
        <v>2236</v>
      </c>
    </row>
    <row r="239" spans="1:33" x14ac:dyDescent="0.25">
      <c r="A239" s="423">
        <v>25</v>
      </c>
      <c r="B239" s="346" t="s">
        <v>1681</v>
      </c>
      <c r="C239" s="321">
        <v>45281</v>
      </c>
      <c r="D239" s="345" t="s">
        <v>1179</v>
      </c>
      <c r="E239" s="345" t="s">
        <v>716</v>
      </c>
      <c r="F239" s="397">
        <v>960340000376</v>
      </c>
      <c r="G239" s="349" t="s">
        <v>1588</v>
      </c>
      <c r="H239" s="349" t="s">
        <v>1670</v>
      </c>
      <c r="I239" s="353">
        <v>10030993319</v>
      </c>
      <c r="J239" s="392">
        <v>54345.599999999999</v>
      </c>
      <c r="K239" s="438">
        <v>32867.74</v>
      </c>
      <c r="L239" s="448">
        <v>277.19900000000001</v>
      </c>
      <c r="M239" s="448">
        <v>350</v>
      </c>
      <c r="N239" s="347">
        <v>45308</v>
      </c>
      <c r="O239" s="353">
        <v>423</v>
      </c>
      <c r="P239" s="353"/>
      <c r="Q239" s="345" t="s">
        <v>1668</v>
      </c>
      <c r="R239" s="347">
        <v>45127</v>
      </c>
      <c r="S239" s="347">
        <v>45858</v>
      </c>
      <c r="T239" s="353"/>
      <c r="U239" s="347"/>
      <c r="V239" s="345"/>
      <c r="W239" s="347">
        <v>45858</v>
      </c>
      <c r="X239" s="353">
        <v>99060352.430000007</v>
      </c>
      <c r="Y239" s="347" t="s">
        <v>1680</v>
      </c>
      <c r="Z239" s="347"/>
      <c r="AA239" s="347" t="s">
        <v>2075</v>
      </c>
      <c r="AB239" s="353">
        <v>91</v>
      </c>
      <c r="AC239" s="448">
        <v>0</v>
      </c>
      <c r="AD239" s="448">
        <v>2</v>
      </c>
      <c r="AE239" s="448">
        <v>444</v>
      </c>
      <c r="AF239" s="448"/>
      <c r="AG239" s="354" t="s">
        <v>2236</v>
      </c>
    </row>
    <row r="240" spans="1:33" x14ac:dyDescent="0.25">
      <c r="A240" s="423">
        <v>26</v>
      </c>
      <c r="B240" s="346" t="s">
        <v>1682</v>
      </c>
      <c r="C240" s="321">
        <v>45274</v>
      </c>
      <c r="D240" s="345" t="s">
        <v>1179</v>
      </c>
      <c r="E240" s="345" t="s">
        <v>716</v>
      </c>
      <c r="F240" s="397">
        <v>960340000376</v>
      </c>
      <c r="G240" s="349" t="s">
        <v>1582</v>
      </c>
      <c r="H240" s="349" t="s">
        <v>1669</v>
      </c>
      <c r="I240" s="353">
        <v>1544370732</v>
      </c>
      <c r="J240" s="392">
        <v>7198.2</v>
      </c>
      <c r="K240" s="438">
        <v>4879.2</v>
      </c>
      <c r="L240" s="448">
        <v>214.55</v>
      </c>
      <c r="M240" s="448">
        <v>350</v>
      </c>
      <c r="N240" s="347">
        <v>45309</v>
      </c>
      <c r="O240" s="353">
        <v>54</v>
      </c>
      <c r="P240" s="353"/>
      <c r="Q240" s="345">
        <v>8</v>
      </c>
      <c r="R240" s="347">
        <v>45175</v>
      </c>
      <c r="S240" s="347">
        <v>45632</v>
      </c>
      <c r="T240" s="353"/>
      <c r="U240" s="347"/>
      <c r="V240" s="345"/>
      <c r="W240" s="347">
        <v>45632</v>
      </c>
      <c r="X240" s="353">
        <v>14909071</v>
      </c>
      <c r="Y240" s="347" t="s">
        <v>1688</v>
      </c>
      <c r="Z240" s="347"/>
      <c r="AA240" s="347" t="s">
        <v>2075</v>
      </c>
      <c r="AB240" s="353">
        <v>91</v>
      </c>
      <c r="AC240" s="448">
        <v>0</v>
      </c>
      <c r="AD240" s="448">
        <v>2</v>
      </c>
      <c r="AE240" s="448">
        <v>442</v>
      </c>
      <c r="AF240" s="448"/>
      <c r="AG240" s="354" t="s">
        <v>2236</v>
      </c>
    </row>
    <row r="241" spans="1:33" x14ac:dyDescent="0.25">
      <c r="A241" s="427">
        <v>27</v>
      </c>
      <c r="B241" s="399" t="s">
        <v>1683</v>
      </c>
      <c r="C241" s="335">
        <v>45274</v>
      </c>
      <c r="D241" s="398" t="s">
        <v>1179</v>
      </c>
      <c r="E241" s="398" t="s">
        <v>716</v>
      </c>
      <c r="F241" s="401">
        <v>960340000376</v>
      </c>
      <c r="G241" s="402" t="s">
        <v>1582</v>
      </c>
      <c r="H241" s="402" t="s">
        <v>1669</v>
      </c>
      <c r="I241" s="403">
        <v>1372954735</v>
      </c>
      <c r="J241" s="404">
        <v>6094.3</v>
      </c>
      <c r="K241" s="446">
        <v>4080.6</v>
      </c>
      <c r="L241" s="455">
        <v>225.285</v>
      </c>
      <c r="M241" s="455">
        <v>360</v>
      </c>
      <c r="N241" s="400">
        <v>45309</v>
      </c>
      <c r="O241" s="403">
        <v>40</v>
      </c>
      <c r="P241" s="403"/>
      <c r="Q241" s="398">
        <v>8</v>
      </c>
      <c r="R241" s="400">
        <v>45175</v>
      </c>
      <c r="S241" s="400">
        <v>45541</v>
      </c>
      <c r="T241" s="400">
        <v>45632</v>
      </c>
      <c r="U241" s="400"/>
      <c r="V241" s="398"/>
      <c r="W241" s="400">
        <v>45632</v>
      </c>
      <c r="X241" s="403">
        <v>13001244</v>
      </c>
      <c r="Y241" s="400" t="s">
        <v>1688</v>
      </c>
      <c r="Z241" s="400"/>
      <c r="AA241" s="347" t="s">
        <v>2075</v>
      </c>
      <c r="AB241" s="403">
        <v>91</v>
      </c>
      <c r="AC241" s="455">
        <v>0</v>
      </c>
      <c r="AD241" s="455">
        <v>2</v>
      </c>
      <c r="AE241" s="455">
        <v>443</v>
      </c>
      <c r="AF241" s="455"/>
      <c r="AG241" s="354" t="s">
        <v>2236</v>
      </c>
    </row>
    <row r="242" spans="1:33" x14ac:dyDescent="0.25">
      <c r="A242" s="423">
        <v>28</v>
      </c>
      <c r="B242" s="346" t="s">
        <v>1658</v>
      </c>
      <c r="C242" s="321">
        <v>45300</v>
      </c>
      <c r="D242" s="345" t="s">
        <v>174</v>
      </c>
      <c r="E242" s="345" t="s">
        <v>693</v>
      </c>
      <c r="F242" s="349" t="s">
        <v>1643</v>
      </c>
      <c r="G242" s="345" t="s">
        <v>694</v>
      </c>
      <c r="H242" s="349" t="s">
        <v>1676</v>
      </c>
      <c r="I242" s="353">
        <v>8967320951</v>
      </c>
      <c r="J242" s="392">
        <v>23220.52</v>
      </c>
      <c r="K242" s="438">
        <v>18073.93</v>
      </c>
      <c r="L242" s="448">
        <v>386.18099999999998</v>
      </c>
      <c r="M242" s="448">
        <v>450.9</v>
      </c>
      <c r="N242" s="347">
        <v>45324</v>
      </c>
      <c r="O242" s="353">
        <v>271</v>
      </c>
      <c r="P242" s="353"/>
      <c r="Q242" s="345">
        <v>9</v>
      </c>
      <c r="R242" s="347">
        <v>45219</v>
      </c>
      <c r="S242" s="347">
        <v>45646</v>
      </c>
      <c r="T242" s="405"/>
      <c r="U242" s="405"/>
      <c r="V242" s="405"/>
      <c r="W242" s="347">
        <v>45646</v>
      </c>
      <c r="X242" s="353">
        <v>71541895</v>
      </c>
      <c r="Y242" s="347" t="s">
        <v>1691</v>
      </c>
      <c r="Z242" s="405"/>
      <c r="AA242" s="393" t="s">
        <v>2078</v>
      </c>
      <c r="AB242" s="353">
        <v>71</v>
      </c>
      <c r="AC242" s="448">
        <v>0</v>
      </c>
      <c r="AD242" s="448">
        <v>1</v>
      </c>
      <c r="AE242" s="448">
        <v>459</v>
      </c>
      <c r="AF242" s="448"/>
      <c r="AG242" s="354" t="s">
        <v>2236</v>
      </c>
    </row>
    <row r="243" spans="1:33" x14ac:dyDescent="0.25">
      <c r="A243" s="423">
        <v>29</v>
      </c>
      <c r="B243" s="346" t="s">
        <v>1655</v>
      </c>
      <c r="C243" s="321">
        <v>45317</v>
      </c>
      <c r="D243" s="345" t="s">
        <v>175</v>
      </c>
      <c r="E243" s="345" t="s">
        <v>977</v>
      </c>
      <c r="F243" s="349" t="s">
        <v>1686</v>
      </c>
      <c r="G243" s="345" t="s">
        <v>1656</v>
      </c>
      <c r="H243" s="349" t="s">
        <v>1687</v>
      </c>
      <c r="I243" s="353">
        <v>1886723001</v>
      </c>
      <c r="J243" s="392">
        <v>10334</v>
      </c>
      <c r="K243" s="438">
        <v>7497</v>
      </c>
      <c r="L243" s="448">
        <v>182.57400000000001</v>
      </c>
      <c r="M243" s="448">
        <v>280</v>
      </c>
      <c r="N243" s="347">
        <v>45348</v>
      </c>
      <c r="O243" s="353">
        <v>150</v>
      </c>
      <c r="P243" s="353"/>
      <c r="Q243" s="345">
        <v>5</v>
      </c>
      <c r="R243" s="347">
        <v>45352</v>
      </c>
      <c r="S243" s="347">
        <v>45566</v>
      </c>
      <c r="T243" s="405"/>
      <c r="U243" s="405"/>
      <c r="V243" s="405"/>
      <c r="W243" s="347">
        <v>45566</v>
      </c>
      <c r="X243" s="353">
        <v>18867230</v>
      </c>
      <c r="Y243" s="347" t="s">
        <v>1762</v>
      </c>
      <c r="Z243" s="405"/>
      <c r="AA243" s="352" t="s">
        <v>2077</v>
      </c>
      <c r="AB243" s="353">
        <v>73</v>
      </c>
      <c r="AC243" s="448">
        <v>0</v>
      </c>
      <c r="AD243" s="448">
        <v>3</v>
      </c>
      <c r="AE243" s="448">
        <v>456</v>
      </c>
      <c r="AF243" s="448"/>
      <c r="AG243" s="354" t="s">
        <v>2236</v>
      </c>
    </row>
    <row r="244" spans="1:33" x14ac:dyDescent="0.25">
      <c r="A244" s="423">
        <v>30</v>
      </c>
      <c r="B244" s="346" t="s">
        <v>1980</v>
      </c>
      <c r="C244" s="321">
        <v>45337</v>
      </c>
      <c r="D244" s="345" t="s">
        <v>176</v>
      </c>
      <c r="E244" s="345" t="s">
        <v>1733</v>
      </c>
      <c r="F244" s="349" t="s">
        <v>1714</v>
      </c>
      <c r="G244" s="345" t="s">
        <v>1675</v>
      </c>
      <c r="H244" s="349" t="s">
        <v>1715</v>
      </c>
      <c r="I244" s="353">
        <v>3595425509</v>
      </c>
      <c r="J244" s="392">
        <v>25056.9</v>
      </c>
      <c r="K244" s="438">
        <v>18161.2</v>
      </c>
      <c r="L244" s="448">
        <v>143</v>
      </c>
      <c r="M244" s="448">
        <v>312</v>
      </c>
      <c r="N244" s="347">
        <v>45365</v>
      </c>
      <c r="O244" s="353">
        <v>240</v>
      </c>
      <c r="P244" s="353"/>
      <c r="Q244" s="345">
        <v>9</v>
      </c>
      <c r="R244" s="347">
        <v>45243</v>
      </c>
      <c r="S244" s="347">
        <v>45670</v>
      </c>
      <c r="T244" s="405"/>
      <c r="U244" s="405"/>
      <c r="V244" s="405"/>
      <c r="W244" s="347">
        <v>45670</v>
      </c>
      <c r="X244" s="353">
        <v>32350689</v>
      </c>
      <c r="Y244" s="347" t="s">
        <v>1736</v>
      </c>
      <c r="Z244" s="405"/>
      <c r="AA244" s="352" t="s">
        <v>2077</v>
      </c>
      <c r="AB244" s="353">
        <v>68</v>
      </c>
      <c r="AC244" s="448">
        <v>0</v>
      </c>
      <c r="AD244" s="448">
        <v>1</v>
      </c>
      <c r="AE244" s="448">
        <v>469</v>
      </c>
      <c r="AF244" s="448"/>
      <c r="AG244" s="354" t="s">
        <v>2236</v>
      </c>
    </row>
    <row r="245" spans="1:33" x14ac:dyDescent="0.25">
      <c r="A245" s="423">
        <v>31</v>
      </c>
      <c r="B245" s="346" t="s">
        <v>1717</v>
      </c>
      <c r="C245" s="321">
        <v>45337</v>
      </c>
      <c r="D245" s="345" t="s">
        <v>1179</v>
      </c>
      <c r="E245" s="378" t="s">
        <v>712</v>
      </c>
      <c r="F245" s="349" t="s">
        <v>1640</v>
      </c>
      <c r="G245" s="378" t="s">
        <v>787</v>
      </c>
      <c r="H245" s="349" t="s">
        <v>1716</v>
      </c>
      <c r="I245" s="353">
        <v>7672975159</v>
      </c>
      <c r="J245" s="392">
        <v>19294.2</v>
      </c>
      <c r="K245" s="438">
        <v>13480</v>
      </c>
      <c r="L245" s="448">
        <v>397.68200000000002</v>
      </c>
      <c r="M245" s="448">
        <v>488.649</v>
      </c>
      <c r="N245" s="347">
        <v>45371</v>
      </c>
      <c r="O245" s="353">
        <v>296</v>
      </c>
      <c r="P245" s="353"/>
      <c r="Q245" s="345" t="s">
        <v>1718</v>
      </c>
      <c r="R245" s="347">
        <v>45327</v>
      </c>
      <c r="S245" s="347">
        <v>45677</v>
      </c>
      <c r="T245" s="405"/>
      <c r="U245" s="405"/>
      <c r="V245" s="405"/>
      <c r="W245" s="347">
        <v>45677</v>
      </c>
      <c r="X245" s="353">
        <v>64691452</v>
      </c>
      <c r="Y245" s="347" t="s">
        <v>1741</v>
      </c>
      <c r="Z245" s="405"/>
      <c r="AA245" s="347" t="s">
        <v>2075</v>
      </c>
      <c r="AB245" s="353">
        <v>65</v>
      </c>
      <c r="AC245" s="448">
        <v>0</v>
      </c>
      <c r="AD245" s="448">
        <v>1</v>
      </c>
      <c r="AE245" s="448">
        <v>473</v>
      </c>
      <c r="AF245" s="448"/>
      <c r="AG245" s="354" t="s">
        <v>2236</v>
      </c>
    </row>
    <row r="246" spans="1:33" x14ac:dyDescent="0.25">
      <c r="A246" s="423">
        <v>32</v>
      </c>
      <c r="B246" s="346" t="s">
        <v>1713</v>
      </c>
      <c r="C246" s="321">
        <v>45357</v>
      </c>
      <c r="D246" s="345" t="s">
        <v>174</v>
      </c>
      <c r="E246" s="378" t="s">
        <v>702</v>
      </c>
      <c r="F246" s="349" t="s">
        <v>1639</v>
      </c>
      <c r="G246" s="378" t="s">
        <v>1666</v>
      </c>
      <c r="H246" s="349" t="s">
        <v>1732</v>
      </c>
      <c r="I246" s="353">
        <v>1613184111</v>
      </c>
      <c r="J246" s="392">
        <v>5712</v>
      </c>
      <c r="K246" s="438">
        <v>4190.55</v>
      </c>
      <c r="L246" s="448">
        <v>282</v>
      </c>
      <c r="M246" s="448">
        <v>433.8</v>
      </c>
      <c r="N246" s="347">
        <v>45380</v>
      </c>
      <c r="O246" s="353">
        <v>45</v>
      </c>
      <c r="P246" s="353"/>
      <c r="Q246" s="345">
        <v>5</v>
      </c>
      <c r="R246" s="347">
        <v>45316</v>
      </c>
      <c r="S246" s="347">
        <v>45621</v>
      </c>
      <c r="T246" s="405"/>
      <c r="U246" s="405"/>
      <c r="V246" s="405"/>
      <c r="W246" s="347">
        <v>45621</v>
      </c>
      <c r="X246" s="353">
        <v>14439086</v>
      </c>
      <c r="Y246" s="347" t="s">
        <v>1740</v>
      </c>
      <c r="Z246" s="405"/>
      <c r="AA246" s="393" t="s">
        <v>2078</v>
      </c>
      <c r="AB246" s="353">
        <v>82</v>
      </c>
      <c r="AC246" s="448">
        <v>0</v>
      </c>
      <c r="AD246" s="448">
        <v>1</v>
      </c>
      <c r="AE246" s="448">
        <v>478</v>
      </c>
      <c r="AF246" s="448"/>
      <c r="AG246" s="354" t="s">
        <v>2236</v>
      </c>
    </row>
    <row r="247" spans="1:33" x14ac:dyDescent="0.25">
      <c r="A247" s="423">
        <v>33</v>
      </c>
      <c r="B247" s="346" t="s">
        <v>1447</v>
      </c>
      <c r="C247" s="321">
        <v>45366</v>
      </c>
      <c r="D247" s="345" t="s">
        <v>1179</v>
      </c>
      <c r="E247" s="348" t="s">
        <v>716</v>
      </c>
      <c r="F247" s="397">
        <v>960340000376</v>
      </c>
      <c r="G247" s="348" t="s">
        <v>783</v>
      </c>
      <c r="H247" s="397">
        <v>190240034484</v>
      </c>
      <c r="I247" s="353">
        <v>2815219201</v>
      </c>
      <c r="J247" s="392">
        <v>13082.17</v>
      </c>
      <c r="K247" s="438">
        <v>7430.63</v>
      </c>
      <c r="L247" s="448">
        <v>301</v>
      </c>
      <c r="M247" s="448">
        <v>440</v>
      </c>
      <c r="N247" s="347">
        <v>45393</v>
      </c>
      <c r="O247" s="353">
        <v>75</v>
      </c>
      <c r="P247" s="353"/>
      <c r="Q247" s="345">
        <v>16.100000000000001</v>
      </c>
      <c r="R247" s="347">
        <v>45174</v>
      </c>
      <c r="S247" s="347">
        <v>45693</v>
      </c>
      <c r="T247" s="405"/>
      <c r="U247" s="405"/>
      <c r="V247" s="405"/>
      <c r="W247" s="347">
        <v>45693</v>
      </c>
      <c r="X247" s="353">
        <v>23678424</v>
      </c>
      <c r="Y247" s="347" t="s">
        <v>1745</v>
      </c>
      <c r="Z247" s="405"/>
      <c r="AA247" s="347" t="s">
        <v>2075</v>
      </c>
      <c r="AB247" s="353">
        <v>92</v>
      </c>
      <c r="AC247" s="448">
        <v>0</v>
      </c>
      <c r="AD247" s="448">
        <v>1</v>
      </c>
      <c r="AE247" s="448">
        <v>481</v>
      </c>
      <c r="AF247" s="448"/>
      <c r="AG247" s="354" t="s">
        <v>2236</v>
      </c>
    </row>
    <row r="248" spans="1:33" x14ac:dyDescent="0.25">
      <c r="A248" s="423">
        <v>34</v>
      </c>
      <c r="B248" s="346" t="s">
        <v>2010</v>
      </c>
      <c r="C248" s="321">
        <v>45370</v>
      </c>
      <c r="D248" s="345" t="s">
        <v>1179</v>
      </c>
      <c r="E248" s="345" t="s">
        <v>1725</v>
      </c>
      <c r="F248" s="397">
        <v>131240018048</v>
      </c>
      <c r="G248" s="345" t="s">
        <v>1726</v>
      </c>
      <c r="H248" s="397">
        <v>170940003812</v>
      </c>
      <c r="I248" s="353">
        <v>13763471058</v>
      </c>
      <c r="J248" s="392">
        <v>66064.539999999994</v>
      </c>
      <c r="K248" s="438">
        <v>42367.37</v>
      </c>
      <c r="L248" s="448">
        <v>208.334</v>
      </c>
      <c r="M248" s="448">
        <v>359</v>
      </c>
      <c r="N248" s="347">
        <v>45379</v>
      </c>
      <c r="O248" s="353">
        <v>674</v>
      </c>
      <c r="P248" s="353"/>
      <c r="Q248" s="345" t="s">
        <v>1738</v>
      </c>
      <c r="R248" s="347">
        <v>45351</v>
      </c>
      <c r="S248" s="347">
        <v>45716</v>
      </c>
      <c r="T248" s="405"/>
      <c r="U248" s="405"/>
      <c r="V248" s="405"/>
      <c r="W248" s="347">
        <v>45716</v>
      </c>
      <c r="X248" s="353">
        <v>117673184</v>
      </c>
      <c r="Y248" s="347" t="s">
        <v>1739</v>
      </c>
      <c r="Z248" s="405"/>
      <c r="AA248" s="347" t="s">
        <v>2075</v>
      </c>
      <c r="AB248" s="353">
        <v>85</v>
      </c>
      <c r="AC248" s="448">
        <v>0</v>
      </c>
      <c r="AD248" s="448">
        <v>1</v>
      </c>
      <c r="AE248" s="448">
        <v>484</v>
      </c>
      <c r="AF248" s="448"/>
      <c r="AG248" s="354" t="s">
        <v>2236</v>
      </c>
    </row>
    <row r="249" spans="1:33" x14ac:dyDescent="0.25">
      <c r="A249" s="423">
        <v>35</v>
      </c>
      <c r="B249" s="346" t="s">
        <v>1744</v>
      </c>
      <c r="C249" s="321">
        <v>45384</v>
      </c>
      <c r="D249" s="345" t="s">
        <v>23</v>
      </c>
      <c r="E249" s="345" t="s">
        <v>1674</v>
      </c>
      <c r="F249" s="397">
        <v>170840003753</v>
      </c>
      <c r="G249" s="345" t="s">
        <v>1673</v>
      </c>
      <c r="H249" s="397">
        <v>200440003119</v>
      </c>
      <c r="I249" s="353">
        <v>6933930768</v>
      </c>
      <c r="J249" s="392">
        <v>31440.78</v>
      </c>
      <c r="K249" s="438">
        <v>19913.75</v>
      </c>
      <c r="L249" s="448">
        <v>220.53899999999999</v>
      </c>
      <c r="M249" s="448">
        <v>674.78599999999994</v>
      </c>
      <c r="N249" s="347">
        <v>45394</v>
      </c>
      <c r="O249" s="345">
        <v>261</v>
      </c>
      <c r="P249" s="345"/>
      <c r="Q249" s="345">
        <v>8.9</v>
      </c>
      <c r="R249" s="347">
        <v>45273</v>
      </c>
      <c r="S249" s="347">
        <v>45974</v>
      </c>
      <c r="T249" s="405"/>
      <c r="U249" s="405"/>
      <c r="V249" s="405"/>
      <c r="W249" s="347">
        <v>45974</v>
      </c>
      <c r="X249" s="353">
        <v>69339308</v>
      </c>
      <c r="Y249" s="347" t="s">
        <v>1746</v>
      </c>
      <c r="Z249" s="405"/>
      <c r="AA249" s="393" t="s">
        <v>2076</v>
      </c>
      <c r="AB249" s="353">
        <v>64</v>
      </c>
      <c r="AC249" s="448">
        <v>0</v>
      </c>
      <c r="AD249" s="448">
        <v>1</v>
      </c>
      <c r="AE249" s="448">
        <v>476</v>
      </c>
      <c r="AF249" s="448"/>
      <c r="AG249" s="354" t="s">
        <v>2236</v>
      </c>
    </row>
    <row r="250" spans="1:33" x14ac:dyDescent="0.25">
      <c r="A250" s="423">
        <v>36</v>
      </c>
      <c r="B250" s="346" t="s">
        <v>2003</v>
      </c>
      <c r="C250" s="321">
        <v>45391</v>
      </c>
      <c r="D250" s="345" t="s">
        <v>452</v>
      </c>
      <c r="E250" s="345" t="s">
        <v>696</v>
      </c>
      <c r="F250" s="349" t="s">
        <v>1648</v>
      </c>
      <c r="G250" s="345" t="s">
        <v>1728</v>
      </c>
      <c r="H250" s="397">
        <v>240140030559</v>
      </c>
      <c r="I250" s="353">
        <v>2341382653</v>
      </c>
      <c r="J250" s="392">
        <v>10974.61</v>
      </c>
      <c r="K250" s="438">
        <v>6795.68</v>
      </c>
      <c r="L250" s="448">
        <v>213.345</v>
      </c>
      <c r="M250" s="448">
        <v>360</v>
      </c>
      <c r="N250" s="347">
        <v>45418</v>
      </c>
      <c r="O250" s="345">
        <v>120</v>
      </c>
      <c r="P250" s="345"/>
      <c r="Q250" s="345">
        <v>5</v>
      </c>
      <c r="R250" s="347">
        <v>45414</v>
      </c>
      <c r="S250" s="347">
        <v>45718</v>
      </c>
      <c r="T250" s="405"/>
      <c r="U250" s="405"/>
      <c r="V250" s="405"/>
      <c r="W250" s="347">
        <v>45718</v>
      </c>
      <c r="X250" s="353">
        <v>23413827</v>
      </c>
      <c r="Y250" s="347" t="s">
        <v>1763</v>
      </c>
      <c r="Z250" s="405"/>
      <c r="AA250" s="347" t="s">
        <v>2074</v>
      </c>
      <c r="AB250" s="353">
        <v>96</v>
      </c>
      <c r="AC250" s="448">
        <v>0</v>
      </c>
      <c r="AD250" s="448">
        <v>1</v>
      </c>
      <c r="AE250" s="448">
        <v>485</v>
      </c>
      <c r="AF250" s="448"/>
      <c r="AG250" s="354" t="s">
        <v>2236</v>
      </c>
    </row>
    <row r="251" spans="1:33" x14ac:dyDescent="0.25">
      <c r="A251" s="423">
        <v>37</v>
      </c>
      <c r="B251" s="346" t="s">
        <v>2036</v>
      </c>
      <c r="C251" s="321">
        <v>45398</v>
      </c>
      <c r="D251" s="345" t="s">
        <v>1179</v>
      </c>
      <c r="E251" s="345" t="s">
        <v>1694</v>
      </c>
      <c r="F251" s="406" t="s">
        <v>1748</v>
      </c>
      <c r="G251" s="345" t="s">
        <v>1695</v>
      </c>
      <c r="H251" s="406" t="s">
        <v>1749</v>
      </c>
      <c r="I251" s="353">
        <v>7417681106</v>
      </c>
      <c r="J251" s="392">
        <v>21357.11</v>
      </c>
      <c r="K251" s="438">
        <v>15245.91</v>
      </c>
      <c r="L251" s="448">
        <v>475.30200000000002</v>
      </c>
      <c r="M251" s="448">
        <v>538.98500000000001</v>
      </c>
      <c r="N251" s="347">
        <v>45440</v>
      </c>
      <c r="O251" s="345">
        <v>209</v>
      </c>
      <c r="P251" s="345"/>
      <c r="Q251" s="345">
        <v>12.13</v>
      </c>
      <c r="R251" s="347">
        <v>45342</v>
      </c>
      <c r="S251" s="347">
        <v>45828</v>
      </c>
      <c r="T251" s="405"/>
      <c r="U251" s="405"/>
      <c r="V251" s="405"/>
      <c r="W251" s="347">
        <v>45828</v>
      </c>
      <c r="X251" s="353">
        <v>44482873</v>
      </c>
      <c r="Y251" s="347" t="s">
        <v>1775</v>
      </c>
      <c r="Z251" s="405"/>
      <c r="AA251" s="347" t="s">
        <v>2075</v>
      </c>
      <c r="AB251" s="353">
        <v>85</v>
      </c>
      <c r="AC251" s="448">
        <v>0</v>
      </c>
      <c r="AD251" s="448">
        <v>1</v>
      </c>
      <c r="AE251" s="457">
        <v>479</v>
      </c>
      <c r="AF251" s="448"/>
      <c r="AG251" s="354" t="s">
        <v>2236</v>
      </c>
    </row>
    <row r="252" spans="1:33" x14ac:dyDescent="0.25">
      <c r="A252" s="423">
        <v>38</v>
      </c>
      <c r="B252" s="346" t="s">
        <v>1734</v>
      </c>
      <c r="C252" s="321">
        <v>45400</v>
      </c>
      <c r="D252" s="345" t="s">
        <v>452</v>
      </c>
      <c r="E252" s="345" t="s">
        <v>696</v>
      </c>
      <c r="F252" s="406" t="s">
        <v>1648</v>
      </c>
      <c r="G252" s="345" t="s">
        <v>1735</v>
      </c>
      <c r="H252" s="406" t="s">
        <v>1750</v>
      </c>
      <c r="I252" s="353">
        <v>2838193666</v>
      </c>
      <c r="J252" s="392">
        <v>13734.47</v>
      </c>
      <c r="K252" s="438">
        <v>8561.6299999999992</v>
      </c>
      <c r="L252" s="448">
        <v>206.64699999999999</v>
      </c>
      <c r="M252" s="448">
        <v>370</v>
      </c>
      <c r="N252" s="347">
        <v>45425</v>
      </c>
      <c r="O252" s="345">
        <v>155</v>
      </c>
      <c r="P252" s="345"/>
      <c r="Q252" s="345">
        <v>5</v>
      </c>
      <c r="R252" s="347">
        <v>45439</v>
      </c>
      <c r="S252" s="347">
        <v>45743</v>
      </c>
      <c r="T252" s="405"/>
      <c r="U252" s="405"/>
      <c r="V252" s="405"/>
      <c r="W252" s="347">
        <f>S252</f>
        <v>45743</v>
      </c>
      <c r="X252" s="353">
        <v>28381937</v>
      </c>
      <c r="Y252" s="347" t="s">
        <v>1764</v>
      </c>
      <c r="Z252" s="405"/>
      <c r="AA252" s="347" t="s">
        <v>2074</v>
      </c>
      <c r="AB252" s="353">
        <v>96</v>
      </c>
      <c r="AC252" s="448">
        <v>0</v>
      </c>
      <c r="AD252" s="448" t="s">
        <v>28</v>
      </c>
      <c r="AE252" s="457">
        <v>486</v>
      </c>
      <c r="AF252" s="448"/>
      <c r="AG252" s="354" t="s">
        <v>2236</v>
      </c>
    </row>
    <row r="253" spans="1:33" x14ac:dyDescent="0.25">
      <c r="A253" s="431">
        <v>39</v>
      </c>
      <c r="B253" s="346" t="s">
        <v>1696</v>
      </c>
      <c r="C253" s="321">
        <v>45400</v>
      </c>
      <c r="D253" s="345" t="s">
        <v>1179</v>
      </c>
      <c r="E253" s="345" t="s">
        <v>758</v>
      </c>
      <c r="F253" s="406" t="s">
        <v>1645</v>
      </c>
      <c r="G253" s="345" t="s">
        <v>1565</v>
      </c>
      <c r="H253" s="406" t="s">
        <v>1751</v>
      </c>
      <c r="I253" s="353">
        <v>9904943139</v>
      </c>
      <c r="J253" s="392">
        <v>36505.1</v>
      </c>
      <c r="K253" s="438">
        <v>23133.01</v>
      </c>
      <c r="L253" s="448">
        <v>271.33</v>
      </c>
      <c r="M253" s="448">
        <v>433.77300000000002</v>
      </c>
      <c r="N253" s="347">
        <v>45441</v>
      </c>
      <c r="O253" s="353">
        <v>450</v>
      </c>
      <c r="P253" s="353"/>
      <c r="Q253" s="345">
        <v>9</v>
      </c>
      <c r="R253" s="347">
        <v>44971</v>
      </c>
      <c r="S253" s="347">
        <v>45549</v>
      </c>
      <c r="T253" s="347">
        <v>45640</v>
      </c>
      <c r="U253" s="405"/>
      <c r="V253" s="405"/>
      <c r="W253" s="347">
        <v>45640</v>
      </c>
      <c r="X253" s="353">
        <v>55757073</v>
      </c>
      <c r="Y253" s="347" t="s">
        <v>1776</v>
      </c>
      <c r="Z253" s="405"/>
      <c r="AA253" s="347" t="s">
        <v>2075</v>
      </c>
      <c r="AB253" s="353">
        <v>75</v>
      </c>
      <c r="AC253" s="448">
        <v>0</v>
      </c>
      <c r="AD253" s="448">
        <v>4</v>
      </c>
      <c r="AE253" s="457">
        <v>477</v>
      </c>
      <c r="AF253" s="448"/>
      <c r="AG253" s="354" t="s">
        <v>2236</v>
      </c>
    </row>
    <row r="254" spans="1:33" x14ac:dyDescent="0.25">
      <c r="A254" s="431">
        <v>40</v>
      </c>
      <c r="B254" s="346" t="s">
        <v>1773</v>
      </c>
      <c r="C254" s="321">
        <v>45456</v>
      </c>
      <c r="D254" s="345" t="s">
        <v>174</v>
      </c>
      <c r="E254" s="345" t="s">
        <v>699</v>
      </c>
      <c r="F254" s="349" t="s">
        <v>1626</v>
      </c>
      <c r="G254" s="349" t="s">
        <v>1592</v>
      </c>
      <c r="H254" s="349" t="s">
        <v>1663</v>
      </c>
      <c r="I254" s="353">
        <v>11265640030</v>
      </c>
      <c r="J254" s="392">
        <v>33009.83</v>
      </c>
      <c r="K254" s="438">
        <v>20716.57</v>
      </c>
      <c r="L254" s="448">
        <v>341.28100000000001</v>
      </c>
      <c r="M254" s="448">
        <v>440</v>
      </c>
      <c r="N254" s="347">
        <v>45483</v>
      </c>
      <c r="O254" s="353">
        <v>348</v>
      </c>
      <c r="P254" s="353"/>
      <c r="Q254" s="345" t="s">
        <v>2001</v>
      </c>
      <c r="R254" s="347">
        <v>45411</v>
      </c>
      <c r="S254" s="347">
        <v>45990</v>
      </c>
      <c r="T254" s="405"/>
      <c r="U254" s="405"/>
      <c r="V254" s="405"/>
      <c r="W254" s="347">
        <v>45990</v>
      </c>
      <c r="X254" s="353">
        <v>101373086</v>
      </c>
      <c r="Y254" s="347" t="s">
        <v>1784</v>
      </c>
      <c r="Z254" s="405"/>
      <c r="AA254" s="393" t="s">
        <v>2078</v>
      </c>
      <c r="AB254" s="353">
        <v>83</v>
      </c>
      <c r="AC254" s="448">
        <v>0</v>
      </c>
      <c r="AD254" s="448">
        <v>1</v>
      </c>
      <c r="AE254" s="457">
        <v>488</v>
      </c>
      <c r="AF254" s="448"/>
      <c r="AG254" s="354" t="s">
        <v>2236</v>
      </c>
    </row>
    <row r="255" spans="1:33" x14ac:dyDescent="0.25">
      <c r="A255" s="431">
        <v>41</v>
      </c>
      <c r="B255" s="346" t="s">
        <v>2037</v>
      </c>
      <c r="C255" s="321">
        <v>45491</v>
      </c>
      <c r="D255" s="345" t="s">
        <v>760</v>
      </c>
      <c r="E255" s="345" t="s">
        <v>1456</v>
      </c>
      <c r="F255" s="349" t="s">
        <v>1653</v>
      </c>
      <c r="G255" s="345" t="s">
        <v>1457</v>
      </c>
      <c r="H255" s="349" t="s">
        <v>1651</v>
      </c>
      <c r="I255" s="353">
        <v>898033122</v>
      </c>
      <c r="J255" s="392">
        <v>3419.26</v>
      </c>
      <c r="K255" s="438">
        <v>2732.59</v>
      </c>
      <c r="L255" s="448">
        <v>328.63799999999998</v>
      </c>
      <c r="M255" s="448">
        <v>369.44400000000002</v>
      </c>
      <c r="N255" s="347">
        <v>45513</v>
      </c>
      <c r="O255" s="353">
        <v>36</v>
      </c>
      <c r="P255" s="353"/>
      <c r="Q255" s="345">
        <v>9</v>
      </c>
      <c r="R255" s="347">
        <v>45449</v>
      </c>
      <c r="S255" s="347">
        <v>45783</v>
      </c>
      <c r="T255" s="405"/>
      <c r="U255" s="405"/>
      <c r="V255" s="405"/>
      <c r="W255" s="347">
        <v>45783</v>
      </c>
      <c r="X255" s="353">
        <v>7521250</v>
      </c>
      <c r="Y255" s="347" t="s">
        <v>1994</v>
      </c>
      <c r="Z255" s="405"/>
      <c r="AA255" s="347" t="s">
        <v>2075</v>
      </c>
      <c r="AB255" s="353">
        <v>72</v>
      </c>
      <c r="AC255" s="448">
        <v>0</v>
      </c>
      <c r="AD255" s="448">
        <v>0</v>
      </c>
      <c r="AE255" s="457">
        <v>490</v>
      </c>
      <c r="AF255" s="448"/>
      <c r="AG255" s="354" t="s">
        <v>2236</v>
      </c>
    </row>
    <row r="256" spans="1:33" x14ac:dyDescent="0.25">
      <c r="A256" s="431">
        <v>42</v>
      </c>
      <c r="B256" s="346" t="s">
        <v>2011</v>
      </c>
      <c r="C256" s="321">
        <v>45484</v>
      </c>
      <c r="D256" s="345" t="s">
        <v>23</v>
      </c>
      <c r="E256" s="345" t="s">
        <v>817</v>
      </c>
      <c r="F256" s="349" t="s">
        <v>1628</v>
      </c>
      <c r="G256" s="345" t="s">
        <v>1778</v>
      </c>
      <c r="H256" s="349" t="s">
        <v>1629</v>
      </c>
      <c r="I256" s="353">
        <v>3103406715</v>
      </c>
      <c r="J256" s="392">
        <v>8853.6</v>
      </c>
      <c r="K256" s="438">
        <v>7182.3</v>
      </c>
      <c r="L256" s="448">
        <v>350.52499999999998</v>
      </c>
      <c r="M256" s="448">
        <v>432.09100000000001</v>
      </c>
      <c r="N256" s="347">
        <v>45513</v>
      </c>
      <c r="O256" s="353">
        <v>142</v>
      </c>
      <c r="P256" s="353"/>
      <c r="Q256" s="345">
        <v>9.1</v>
      </c>
      <c r="R256" s="347">
        <v>45444</v>
      </c>
      <c r="S256" s="347">
        <v>45658</v>
      </c>
      <c r="T256" s="405"/>
      <c r="U256" s="405"/>
      <c r="V256" s="405"/>
      <c r="W256" s="347">
        <v>45658</v>
      </c>
      <c r="X256" s="353">
        <v>27444388</v>
      </c>
      <c r="Y256" s="347" t="s">
        <v>1993</v>
      </c>
      <c r="Z256" s="405"/>
      <c r="AA256" s="393" t="s">
        <v>2076</v>
      </c>
      <c r="AB256" s="353">
        <v>80</v>
      </c>
      <c r="AC256" s="448">
        <v>0</v>
      </c>
      <c r="AD256" s="448">
        <v>1</v>
      </c>
      <c r="AE256" s="457">
        <v>489</v>
      </c>
      <c r="AF256" s="448"/>
      <c r="AG256" s="354" t="s">
        <v>2236</v>
      </c>
    </row>
    <row r="257" spans="1:33" x14ac:dyDescent="0.25">
      <c r="A257" s="423">
        <v>43</v>
      </c>
      <c r="B257" s="346" t="s">
        <v>2038</v>
      </c>
      <c r="C257" s="321">
        <v>45491</v>
      </c>
      <c r="D257" s="345" t="s">
        <v>760</v>
      </c>
      <c r="E257" s="345" t="s">
        <v>1456</v>
      </c>
      <c r="F257" s="349" t="s">
        <v>1653</v>
      </c>
      <c r="G257" s="345" t="s">
        <v>1457</v>
      </c>
      <c r="H257" s="349" t="s">
        <v>1651</v>
      </c>
      <c r="I257" s="353">
        <v>680140869</v>
      </c>
      <c r="J257" s="392">
        <v>2726.43</v>
      </c>
      <c r="K257" s="438">
        <v>1784.9</v>
      </c>
      <c r="L257" s="448">
        <v>324.93799999999999</v>
      </c>
      <c r="M257" s="448">
        <v>380</v>
      </c>
      <c r="N257" s="347">
        <v>45516</v>
      </c>
      <c r="O257" s="353">
        <v>24</v>
      </c>
      <c r="P257" s="353"/>
      <c r="Q257" s="345">
        <v>9</v>
      </c>
      <c r="R257" s="347">
        <v>45462</v>
      </c>
      <c r="S257" s="347">
        <v>45827</v>
      </c>
      <c r="T257" s="405"/>
      <c r="U257" s="405"/>
      <c r="V257" s="405"/>
      <c r="W257" s="347">
        <v>45827</v>
      </c>
      <c r="X257" s="353">
        <v>5473612</v>
      </c>
      <c r="Y257" s="347" t="s">
        <v>1995</v>
      </c>
      <c r="Z257" s="405"/>
      <c r="AA257" s="347" t="s">
        <v>2075</v>
      </c>
      <c r="AB257" s="353">
        <v>72</v>
      </c>
      <c r="AC257" s="448">
        <v>0</v>
      </c>
      <c r="AD257" s="448">
        <v>0</v>
      </c>
      <c r="AE257" s="457">
        <v>495</v>
      </c>
      <c r="AF257" s="448"/>
      <c r="AG257" s="354" t="s">
        <v>2236</v>
      </c>
    </row>
    <row r="258" spans="1:33" x14ac:dyDescent="0.25">
      <c r="A258" s="431">
        <v>44</v>
      </c>
      <c r="B258" s="346" t="s">
        <v>2020</v>
      </c>
      <c r="C258" s="321">
        <v>45517</v>
      </c>
      <c r="D258" s="345" t="s">
        <v>1179</v>
      </c>
      <c r="E258" s="345" t="s">
        <v>1725</v>
      </c>
      <c r="F258" s="406" t="s">
        <v>1953</v>
      </c>
      <c r="G258" s="345" t="s">
        <v>1726</v>
      </c>
      <c r="H258" s="406" t="s">
        <v>1966</v>
      </c>
      <c r="I258" s="353">
        <v>5390249441</v>
      </c>
      <c r="J258" s="392">
        <v>29864.22</v>
      </c>
      <c r="K258" s="438">
        <v>19052.13</v>
      </c>
      <c r="L258" s="448">
        <v>180.49199999999999</v>
      </c>
      <c r="M258" s="448">
        <v>403.83</v>
      </c>
      <c r="N258" s="347">
        <v>45520</v>
      </c>
      <c r="O258" s="353">
        <v>329</v>
      </c>
      <c r="P258" s="353"/>
      <c r="Q258" s="345" t="s">
        <v>433</v>
      </c>
      <c r="R258" s="347">
        <v>45497</v>
      </c>
      <c r="S258" s="347">
        <v>45954</v>
      </c>
      <c r="T258" s="405"/>
      <c r="U258" s="405"/>
      <c r="V258" s="405"/>
      <c r="W258" s="347">
        <v>45954</v>
      </c>
      <c r="X258" s="353">
        <v>45450566</v>
      </c>
      <c r="Y258" s="347" t="s">
        <v>2005</v>
      </c>
      <c r="Z258" s="405"/>
      <c r="AA258" s="347" t="s">
        <v>2075</v>
      </c>
      <c r="AB258" s="353">
        <v>85</v>
      </c>
      <c r="AC258" s="448"/>
      <c r="AD258" s="448">
        <v>0</v>
      </c>
      <c r="AE258" s="457">
        <v>493</v>
      </c>
      <c r="AF258" s="448"/>
      <c r="AG258" s="354" t="s">
        <v>2236</v>
      </c>
    </row>
    <row r="259" spans="1:33" x14ac:dyDescent="0.25">
      <c r="A259" s="431">
        <v>45</v>
      </c>
      <c r="B259" s="346" t="s">
        <v>1806</v>
      </c>
      <c r="C259" s="321">
        <v>45498</v>
      </c>
      <c r="D259" s="345" t="s">
        <v>1179</v>
      </c>
      <c r="E259" s="345" t="s">
        <v>1945</v>
      </c>
      <c r="F259" s="349" t="s">
        <v>1877</v>
      </c>
      <c r="G259" s="345" t="s">
        <v>1807</v>
      </c>
      <c r="H259" s="349" t="s">
        <v>1808</v>
      </c>
      <c r="I259" s="353">
        <v>10243010511</v>
      </c>
      <c r="J259" s="392">
        <v>35314.239999999998</v>
      </c>
      <c r="K259" s="438">
        <v>22802.18</v>
      </c>
      <c r="L259" s="448">
        <v>290</v>
      </c>
      <c r="M259" s="448">
        <v>470</v>
      </c>
      <c r="N259" s="347">
        <v>45530</v>
      </c>
      <c r="O259" s="353">
        <v>377</v>
      </c>
      <c r="P259" s="353"/>
      <c r="Q259" s="345" t="s">
        <v>1944</v>
      </c>
      <c r="R259" s="347">
        <v>45450</v>
      </c>
      <c r="S259" s="347">
        <v>45937</v>
      </c>
      <c r="T259" s="405"/>
      <c r="U259" s="405"/>
      <c r="V259" s="405"/>
      <c r="W259" s="347">
        <v>45937</v>
      </c>
      <c r="X259" s="353">
        <v>87753132</v>
      </c>
      <c r="Y259" s="347" t="s">
        <v>2022</v>
      </c>
      <c r="Z259" s="405"/>
      <c r="AA259" s="347" t="s">
        <v>2075</v>
      </c>
      <c r="AB259" s="353">
        <v>82</v>
      </c>
      <c r="AC259" s="448">
        <v>0</v>
      </c>
      <c r="AD259" s="448">
        <v>0</v>
      </c>
      <c r="AE259" s="457">
        <v>494</v>
      </c>
      <c r="AF259" s="448"/>
      <c r="AG259" s="354" t="s">
        <v>2236</v>
      </c>
    </row>
    <row r="260" spans="1:33" x14ac:dyDescent="0.25">
      <c r="A260" s="423">
        <v>46</v>
      </c>
      <c r="B260" s="346" t="s">
        <v>2002</v>
      </c>
      <c r="C260" s="321">
        <v>45513</v>
      </c>
      <c r="D260" s="378" t="s">
        <v>174</v>
      </c>
      <c r="E260" s="345" t="s">
        <v>1810</v>
      </c>
      <c r="F260" s="349" t="s">
        <v>1639</v>
      </c>
      <c r="G260" s="345" t="s">
        <v>1811</v>
      </c>
      <c r="H260" s="349" t="s">
        <v>1812</v>
      </c>
      <c r="I260" s="353">
        <v>2835753390</v>
      </c>
      <c r="J260" s="392">
        <v>9803.7000000000007</v>
      </c>
      <c r="K260" s="438">
        <v>6712.14</v>
      </c>
      <c r="L260" s="448">
        <v>289.25299999999999</v>
      </c>
      <c r="M260" s="448">
        <v>427</v>
      </c>
      <c r="N260" s="347">
        <v>45540</v>
      </c>
      <c r="O260" s="353">
        <v>130</v>
      </c>
      <c r="P260" s="353"/>
      <c r="Q260" s="345">
        <v>5</v>
      </c>
      <c r="R260" s="347">
        <v>45449</v>
      </c>
      <c r="S260" s="347">
        <v>45753</v>
      </c>
      <c r="T260" s="405"/>
      <c r="U260" s="405"/>
      <c r="V260" s="405"/>
      <c r="W260" s="347">
        <v>45753</v>
      </c>
      <c r="X260" s="353">
        <v>26255342</v>
      </c>
      <c r="Y260" s="347" t="s">
        <v>2041</v>
      </c>
      <c r="Z260" s="405"/>
      <c r="AA260" s="393" t="s">
        <v>2078</v>
      </c>
      <c r="AB260" s="353">
        <v>89</v>
      </c>
      <c r="AC260" s="448"/>
      <c r="AD260" s="448">
        <v>1</v>
      </c>
      <c r="AE260" s="457">
        <v>497</v>
      </c>
      <c r="AF260" s="448"/>
      <c r="AG260" s="354" t="s">
        <v>2236</v>
      </c>
    </row>
    <row r="261" spans="1:33" x14ac:dyDescent="0.25">
      <c r="A261" s="423">
        <v>47</v>
      </c>
      <c r="B261" s="346" t="s">
        <v>1883</v>
      </c>
      <c r="C261" s="321">
        <v>45520</v>
      </c>
      <c r="D261" s="345" t="s">
        <v>1179</v>
      </c>
      <c r="E261" s="345" t="s">
        <v>716</v>
      </c>
      <c r="F261" s="397">
        <v>960340000376</v>
      </c>
      <c r="G261" s="349" t="s">
        <v>1582</v>
      </c>
      <c r="H261" s="349" t="s">
        <v>1669</v>
      </c>
      <c r="I261" s="353">
        <v>6454916135</v>
      </c>
      <c r="J261" s="392">
        <v>17342.5</v>
      </c>
      <c r="K261" s="438">
        <v>7461</v>
      </c>
      <c r="L261" s="448">
        <v>372.202</v>
      </c>
      <c r="M261" s="448">
        <v>635.625</v>
      </c>
      <c r="N261" s="347">
        <v>45540</v>
      </c>
      <c r="O261" s="353">
        <v>80</v>
      </c>
      <c r="P261" s="353"/>
      <c r="Q261" s="345">
        <v>8</v>
      </c>
      <c r="R261" s="347">
        <v>45392</v>
      </c>
      <c r="S261" s="347">
        <v>46091</v>
      </c>
      <c r="T261" s="405"/>
      <c r="U261" s="405"/>
      <c r="V261" s="405"/>
      <c r="W261" s="347">
        <v>46091</v>
      </c>
      <c r="X261" s="353">
        <v>63686003.060000002</v>
      </c>
      <c r="Y261" s="347" t="s">
        <v>2042</v>
      </c>
      <c r="Z261" s="405"/>
      <c r="AA261" s="347" t="s">
        <v>2075</v>
      </c>
      <c r="AB261" s="353">
        <v>95</v>
      </c>
      <c r="AC261" s="448"/>
      <c r="AD261" s="448">
        <v>0</v>
      </c>
      <c r="AE261" s="457">
        <v>499</v>
      </c>
      <c r="AF261" s="448"/>
      <c r="AG261" s="354" t="s">
        <v>2236</v>
      </c>
    </row>
    <row r="262" spans="1:33" x14ac:dyDescent="0.25">
      <c r="A262" s="423">
        <v>48</v>
      </c>
      <c r="B262" s="346" t="s">
        <v>1943</v>
      </c>
      <c r="C262" s="321">
        <v>45538</v>
      </c>
      <c r="D262" s="345" t="s">
        <v>1179</v>
      </c>
      <c r="E262" s="345" t="s">
        <v>1945</v>
      </c>
      <c r="F262" s="349" t="s">
        <v>1877</v>
      </c>
      <c r="G262" s="345" t="s">
        <v>1881</v>
      </c>
      <c r="H262" s="349" t="s">
        <v>1882</v>
      </c>
      <c r="I262" s="353">
        <v>5936601406</v>
      </c>
      <c r="J262" s="392">
        <v>17629.990000000002</v>
      </c>
      <c r="K262" s="438">
        <v>11241.39</v>
      </c>
      <c r="L262" s="448">
        <v>336.733</v>
      </c>
      <c r="M262" s="448">
        <v>475.66500000000002</v>
      </c>
      <c r="N262" s="347" t="s">
        <v>1779</v>
      </c>
      <c r="O262" s="353">
        <v>188</v>
      </c>
      <c r="P262" s="353"/>
      <c r="Q262" s="345" t="s">
        <v>193</v>
      </c>
      <c r="R262" s="347">
        <v>45474</v>
      </c>
      <c r="S262" s="347">
        <v>45809</v>
      </c>
      <c r="T262" s="405"/>
      <c r="U262" s="405"/>
      <c r="V262" s="405"/>
      <c r="W262" s="347">
        <v>45809</v>
      </c>
      <c r="X262" s="353">
        <v>44093533</v>
      </c>
      <c r="Y262" s="347"/>
      <c r="Z262" s="405"/>
      <c r="AA262" s="347" t="s">
        <v>2075</v>
      </c>
      <c r="AB262" s="353">
        <v>82</v>
      </c>
      <c r="AC262" s="448">
        <v>0</v>
      </c>
      <c r="AD262" s="448">
        <v>1</v>
      </c>
      <c r="AE262" s="457">
        <v>498</v>
      </c>
      <c r="AF262" s="448"/>
      <c r="AG262" s="354" t="s">
        <v>2236</v>
      </c>
    </row>
    <row r="263" spans="1:33" x14ac:dyDescent="0.25">
      <c r="A263" s="423">
        <v>49</v>
      </c>
      <c r="B263" s="346" t="s">
        <v>1984</v>
      </c>
      <c r="C263" s="321">
        <v>45538</v>
      </c>
      <c r="D263" s="345" t="s">
        <v>1179</v>
      </c>
      <c r="E263" s="345" t="s">
        <v>716</v>
      </c>
      <c r="F263" s="397">
        <v>960340000376</v>
      </c>
      <c r="G263" s="345" t="s">
        <v>717</v>
      </c>
      <c r="H263" s="406" t="s">
        <v>1967</v>
      </c>
      <c r="I263" s="353">
        <v>2589603399</v>
      </c>
      <c r="J263" s="392">
        <v>10791.17</v>
      </c>
      <c r="K263" s="438">
        <v>8276.5499999999993</v>
      </c>
      <c r="L263" s="448">
        <v>239.97399999999999</v>
      </c>
      <c r="M263" s="448">
        <v>450</v>
      </c>
      <c r="N263" s="347" t="s">
        <v>1779</v>
      </c>
      <c r="O263" s="353">
        <v>102</v>
      </c>
      <c r="P263" s="353"/>
      <c r="Q263" s="345">
        <v>18</v>
      </c>
      <c r="R263" s="347">
        <v>45415</v>
      </c>
      <c r="S263" s="347">
        <v>45841</v>
      </c>
      <c r="T263" s="405"/>
      <c r="U263" s="405"/>
      <c r="V263" s="405"/>
      <c r="W263" s="347">
        <v>45841</v>
      </c>
      <c r="X263" s="353">
        <v>24739461</v>
      </c>
      <c r="Y263" s="347"/>
      <c r="Z263" s="405"/>
      <c r="AA263" s="347" t="s">
        <v>2075</v>
      </c>
      <c r="AB263" s="353">
        <v>95</v>
      </c>
      <c r="AC263" s="448">
        <v>0</v>
      </c>
      <c r="AD263" s="448">
        <v>2</v>
      </c>
      <c r="AE263" s="457">
        <v>491</v>
      </c>
      <c r="AF263" s="448"/>
      <c r="AG263" s="354" t="s">
        <v>2236</v>
      </c>
    </row>
    <row r="264" spans="1:33" x14ac:dyDescent="0.25">
      <c r="A264" s="433">
        <v>50</v>
      </c>
      <c r="B264" s="346" t="s">
        <v>2264</v>
      </c>
      <c r="C264" s="338"/>
      <c r="D264" s="340"/>
      <c r="E264" s="340"/>
      <c r="F264" s="472"/>
      <c r="G264" s="340"/>
      <c r="H264" s="344"/>
      <c r="I264" s="456">
        <v>500000000</v>
      </c>
      <c r="J264" s="437"/>
      <c r="N264" s="422"/>
      <c r="O264" s="456"/>
      <c r="P264" s="456"/>
      <c r="Q264" s="340"/>
      <c r="R264" s="338"/>
      <c r="S264" s="338"/>
      <c r="T264" s="338"/>
      <c r="U264" s="338"/>
      <c r="V264" s="340"/>
      <c r="W264" s="338"/>
      <c r="X264" s="339"/>
      <c r="Y264" s="422"/>
      <c r="Z264" s="338"/>
      <c r="AA264" s="422"/>
      <c r="AB264" s="339"/>
    </row>
    <row r="269" spans="1:33" x14ac:dyDescent="0.25">
      <c r="B269" s="463" t="s">
        <v>56</v>
      </c>
      <c r="C269" t="s">
        <v>2259</v>
      </c>
    </row>
    <row r="271" spans="1:33" x14ac:dyDescent="0.25">
      <c r="B271" s="463" t="s">
        <v>2256</v>
      </c>
      <c r="C271" t="s">
        <v>2258</v>
      </c>
      <c r="D271" s="471" t="s">
        <v>2260</v>
      </c>
      <c r="E271" s="470" t="s">
        <v>2261</v>
      </c>
      <c r="F271" t="s">
        <v>2262</v>
      </c>
      <c r="G271" s="471" t="s">
        <v>2263</v>
      </c>
      <c r="H271"/>
      <c r="I271"/>
      <c r="J271"/>
      <c r="K271"/>
      <c r="L271"/>
      <c r="M271"/>
      <c r="N271"/>
      <c r="O271"/>
      <c r="P271"/>
      <c r="Q271"/>
    </row>
    <row r="272" spans="1:33" x14ac:dyDescent="0.25">
      <c r="B272" s="312" t="s">
        <v>2236</v>
      </c>
      <c r="C272" s="569">
        <v>47</v>
      </c>
      <c r="D272" s="471">
        <v>252430843775.47308</v>
      </c>
      <c r="E272" s="470">
        <v>1010533.1499999999</v>
      </c>
      <c r="F272" s="471">
        <v>10351</v>
      </c>
      <c r="G272" s="471"/>
      <c r="H272"/>
      <c r="I272"/>
      <c r="J272"/>
      <c r="K272"/>
      <c r="L272"/>
      <c r="M272"/>
      <c r="N272"/>
      <c r="O272"/>
      <c r="P272"/>
      <c r="Q272"/>
    </row>
    <row r="273" spans="2:17" x14ac:dyDescent="0.25">
      <c r="B273" s="570" t="s">
        <v>2071</v>
      </c>
      <c r="C273" s="569">
        <v>1</v>
      </c>
      <c r="D273" s="471">
        <v>380442507</v>
      </c>
      <c r="E273" s="470">
        <v>2497.15</v>
      </c>
      <c r="F273" s="471">
        <v>60</v>
      </c>
      <c r="G273" s="471"/>
      <c r="H273"/>
      <c r="I273"/>
      <c r="J273"/>
      <c r="K273"/>
      <c r="L273"/>
      <c r="M273"/>
      <c r="N273"/>
      <c r="O273"/>
      <c r="P273"/>
      <c r="Q273"/>
    </row>
    <row r="274" spans="2:17" x14ac:dyDescent="0.25">
      <c r="B274" s="570" t="s">
        <v>1975</v>
      </c>
      <c r="C274" s="569">
        <v>3</v>
      </c>
      <c r="D274" s="471">
        <v>7213244001</v>
      </c>
      <c r="E274" s="470">
        <v>31453.899999999998</v>
      </c>
      <c r="F274" s="471">
        <v>460</v>
      </c>
      <c r="G274" s="471"/>
      <c r="H274"/>
      <c r="I274"/>
      <c r="J274"/>
      <c r="K274"/>
      <c r="L274"/>
      <c r="M274"/>
      <c r="N274"/>
      <c r="O274"/>
      <c r="P274"/>
      <c r="Q274"/>
    </row>
    <row r="275" spans="2:17" x14ac:dyDescent="0.25">
      <c r="B275" s="570" t="s">
        <v>1976</v>
      </c>
      <c r="C275" s="569">
        <v>1</v>
      </c>
      <c r="D275" s="471">
        <v>1088278078</v>
      </c>
      <c r="E275" s="470">
        <v>5851.02</v>
      </c>
      <c r="F275" s="471">
        <v>119</v>
      </c>
      <c r="G275" s="471"/>
      <c r="H275"/>
      <c r="I275"/>
      <c r="J275"/>
      <c r="K275"/>
      <c r="L275"/>
      <c r="M275"/>
      <c r="N275"/>
      <c r="O275"/>
      <c r="P275"/>
      <c r="Q275"/>
    </row>
    <row r="276" spans="2:17" x14ac:dyDescent="0.25">
      <c r="B276" s="570" t="s">
        <v>2072</v>
      </c>
      <c r="C276" s="569">
        <v>1</v>
      </c>
      <c r="D276" s="471">
        <v>4916104675</v>
      </c>
      <c r="E276" s="470">
        <v>15148.34</v>
      </c>
      <c r="F276" s="471">
        <v>216</v>
      </c>
      <c r="G276" s="471"/>
      <c r="H276"/>
      <c r="I276"/>
      <c r="J276"/>
      <c r="K276"/>
      <c r="L276"/>
      <c r="M276"/>
      <c r="N276"/>
      <c r="O276"/>
      <c r="P276"/>
      <c r="Q276"/>
    </row>
    <row r="277" spans="2:17" x14ac:dyDescent="0.25">
      <c r="B277" s="570" t="s">
        <v>369</v>
      </c>
      <c r="C277" s="569">
        <v>1</v>
      </c>
      <c r="D277" s="471">
        <v>7324207552</v>
      </c>
      <c r="E277" s="470">
        <v>48244.78</v>
      </c>
      <c r="F277" s="471">
        <v>560</v>
      </c>
      <c r="G277" s="471"/>
      <c r="H277"/>
      <c r="I277"/>
      <c r="J277"/>
      <c r="K277"/>
      <c r="L277"/>
      <c r="M277"/>
      <c r="N277"/>
      <c r="O277"/>
      <c r="P277"/>
      <c r="Q277"/>
    </row>
    <row r="278" spans="2:17" x14ac:dyDescent="0.25">
      <c r="B278" s="570" t="s">
        <v>23</v>
      </c>
      <c r="C278" s="569">
        <v>3</v>
      </c>
      <c r="D278" s="471">
        <v>21416231301</v>
      </c>
      <c r="E278" s="470">
        <v>66873.38</v>
      </c>
      <c r="F278" s="471">
        <v>784</v>
      </c>
      <c r="G278" s="471"/>
      <c r="H278"/>
      <c r="I278"/>
      <c r="J278"/>
      <c r="K278"/>
      <c r="L278"/>
      <c r="M278"/>
      <c r="N278"/>
      <c r="O278"/>
      <c r="P278"/>
      <c r="Q278"/>
    </row>
    <row r="279" spans="2:17" x14ac:dyDescent="0.25">
      <c r="B279" s="570" t="s">
        <v>1179</v>
      </c>
      <c r="C279" s="569">
        <v>21</v>
      </c>
      <c r="D279" s="471">
        <v>154034558269.47308</v>
      </c>
      <c r="E279" s="470">
        <v>639406.48999999987</v>
      </c>
      <c r="F279" s="471">
        <v>5940</v>
      </c>
      <c r="G279" s="471"/>
      <c r="H279"/>
      <c r="I279"/>
      <c r="J279"/>
      <c r="K279"/>
      <c r="L279"/>
      <c r="M279"/>
      <c r="N279"/>
      <c r="O279"/>
      <c r="P279"/>
      <c r="Q279"/>
    </row>
    <row r="280" spans="2:17" x14ac:dyDescent="0.25">
      <c r="B280" s="570" t="s">
        <v>176</v>
      </c>
      <c r="C280" s="569">
        <v>1</v>
      </c>
      <c r="D280" s="471">
        <v>3595425509</v>
      </c>
      <c r="E280" s="470">
        <v>25056.9</v>
      </c>
      <c r="F280" s="471">
        <v>240</v>
      </c>
      <c r="G280" s="471"/>
      <c r="H280"/>
      <c r="I280"/>
      <c r="J280"/>
      <c r="K280"/>
      <c r="L280"/>
      <c r="M280"/>
      <c r="N280"/>
      <c r="O280"/>
      <c r="P280"/>
      <c r="Q280"/>
    </row>
    <row r="281" spans="2:17" x14ac:dyDescent="0.25">
      <c r="B281" s="570" t="s">
        <v>452</v>
      </c>
      <c r="C281" s="569">
        <v>4</v>
      </c>
      <c r="D281" s="471">
        <v>9246477629</v>
      </c>
      <c r="E281" s="470">
        <v>42709.53</v>
      </c>
      <c r="F281" s="471">
        <v>517</v>
      </c>
      <c r="G281" s="471"/>
      <c r="H281"/>
      <c r="I281"/>
      <c r="J281"/>
      <c r="K281"/>
      <c r="L281"/>
      <c r="M281"/>
      <c r="N281"/>
      <c r="O281"/>
      <c r="P281"/>
      <c r="Q281"/>
    </row>
    <row r="282" spans="2:17" x14ac:dyDescent="0.25">
      <c r="B282" s="570" t="s">
        <v>175</v>
      </c>
      <c r="C282" s="569">
        <v>1</v>
      </c>
      <c r="D282" s="471">
        <v>1886723001</v>
      </c>
      <c r="E282" s="470">
        <v>10334</v>
      </c>
      <c r="F282" s="471">
        <v>150</v>
      </c>
      <c r="G282" s="471"/>
      <c r="H282"/>
      <c r="I282"/>
      <c r="J282"/>
      <c r="K282"/>
      <c r="L282"/>
      <c r="M282"/>
      <c r="N282"/>
      <c r="O282"/>
      <c r="P282"/>
      <c r="Q282"/>
    </row>
    <row r="283" spans="2:17" x14ac:dyDescent="0.25">
      <c r="B283" s="570" t="s">
        <v>760</v>
      </c>
      <c r="C283" s="569">
        <v>4</v>
      </c>
      <c r="D283" s="471">
        <v>7085271168</v>
      </c>
      <c r="E283" s="470">
        <v>23982.18</v>
      </c>
      <c r="F283" s="471">
        <v>216</v>
      </c>
      <c r="G283" s="471"/>
      <c r="H283"/>
      <c r="I283"/>
      <c r="J283"/>
      <c r="K283"/>
      <c r="L283"/>
      <c r="M283"/>
      <c r="N283"/>
      <c r="O283"/>
      <c r="P283"/>
      <c r="Q283"/>
    </row>
    <row r="284" spans="2:17" x14ac:dyDescent="0.25">
      <c r="B284" s="570" t="s">
        <v>174</v>
      </c>
      <c r="C284" s="569">
        <v>6</v>
      </c>
      <c r="D284" s="471">
        <v>34243880085</v>
      </c>
      <c r="E284" s="470">
        <v>98975.48</v>
      </c>
      <c r="F284" s="471">
        <v>1089</v>
      </c>
      <c r="G284" s="471"/>
      <c r="H284"/>
      <c r="I284"/>
      <c r="J284"/>
      <c r="K284"/>
      <c r="L284"/>
      <c r="M284"/>
      <c r="N284"/>
      <c r="O284"/>
      <c r="P284"/>
      <c r="Q284"/>
    </row>
    <row r="285" spans="2:17" x14ac:dyDescent="0.25">
      <c r="B285" s="312" t="s">
        <v>2254</v>
      </c>
      <c r="C285" s="569">
        <v>188</v>
      </c>
      <c r="D285" s="471">
        <v>882400246445</v>
      </c>
      <c r="E285" s="470">
        <v>4750246.9200000009</v>
      </c>
      <c r="F285" s="471">
        <v>53474</v>
      </c>
      <c r="G285" s="471">
        <v>54976</v>
      </c>
      <c r="H285"/>
      <c r="I285"/>
      <c r="J285"/>
      <c r="K285"/>
      <c r="L285"/>
      <c r="M285"/>
      <c r="N285"/>
      <c r="O285"/>
      <c r="P285"/>
      <c r="Q285"/>
    </row>
    <row r="286" spans="2:17" x14ac:dyDescent="0.25">
      <c r="B286" s="570" t="s">
        <v>2070</v>
      </c>
      <c r="C286" s="569">
        <v>1</v>
      </c>
      <c r="D286" s="471">
        <v>1748059801</v>
      </c>
      <c r="E286" s="470">
        <v>12721.2</v>
      </c>
      <c r="F286" s="471">
        <v>190</v>
      </c>
      <c r="G286" s="471">
        <v>190</v>
      </c>
      <c r="H286"/>
      <c r="I286"/>
      <c r="J286"/>
      <c r="K286"/>
      <c r="L286"/>
      <c r="M286"/>
      <c r="N286"/>
      <c r="O286"/>
      <c r="P286"/>
      <c r="Q286"/>
    </row>
    <row r="287" spans="2:17" x14ac:dyDescent="0.25">
      <c r="B287" s="570" t="s">
        <v>1508</v>
      </c>
      <c r="C287" s="569">
        <v>3</v>
      </c>
      <c r="D287" s="471">
        <v>10282234739</v>
      </c>
      <c r="E287" s="470">
        <v>34435.120000000003</v>
      </c>
      <c r="F287" s="471">
        <v>360</v>
      </c>
      <c r="G287" s="471">
        <v>360</v>
      </c>
      <c r="H287"/>
      <c r="I287"/>
      <c r="J287"/>
      <c r="K287"/>
      <c r="L287"/>
      <c r="M287"/>
      <c r="N287"/>
      <c r="O287"/>
      <c r="P287"/>
      <c r="Q287"/>
    </row>
    <row r="288" spans="2:17" x14ac:dyDescent="0.25">
      <c r="B288" s="570" t="s">
        <v>759</v>
      </c>
      <c r="C288" s="569">
        <v>4</v>
      </c>
      <c r="D288" s="471">
        <v>11375857048</v>
      </c>
      <c r="E288" s="470">
        <v>56767.979999999996</v>
      </c>
      <c r="F288" s="471">
        <v>813</v>
      </c>
      <c r="G288" s="471">
        <v>822</v>
      </c>
      <c r="H288"/>
      <c r="I288"/>
      <c r="J288"/>
      <c r="K288"/>
      <c r="L288"/>
      <c r="M288"/>
      <c r="N288"/>
      <c r="O288"/>
      <c r="P288"/>
      <c r="Q288"/>
    </row>
    <row r="289" spans="2:17" x14ac:dyDescent="0.25">
      <c r="B289" s="570" t="s">
        <v>2073</v>
      </c>
      <c r="C289" s="569">
        <v>2</v>
      </c>
      <c r="D289" s="471">
        <v>2166781132</v>
      </c>
      <c r="E289" s="470">
        <v>8441.7999999999993</v>
      </c>
      <c r="F289" s="471">
        <v>116</v>
      </c>
      <c r="G289" s="471">
        <v>116</v>
      </c>
      <c r="H289"/>
      <c r="I289"/>
      <c r="J289"/>
      <c r="K289"/>
      <c r="L289"/>
      <c r="M289"/>
      <c r="N289"/>
      <c r="O289"/>
      <c r="P289"/>
      <c r="Q289"/>
    </row>
    <row r="290" spans="2:17" x14ac:dyDescent="0.25">
      <c r="B290" s="570" t="s">
        <v>212</v>
      </c>
      <c r="C290" s="569">
        <v>1</v>
      </c>
      <c r="D290" s="471">
        <v>3779124848</v>
      </c>
      <c r="E290" s="470">
        <v>24702.9</v>
      </c>
      <c r="F290" s="471">
        <v>287</v>
      </c>
      <c r="G290" s="471">
        <v>287</v>
      </c>
      <c r="H290"/>
      <c r="I290"/>
      <c r="J290"/>
      <c r="K290"/>
      <c r="L290"/>
      <c r="M290"/>
      <c r="N290"/>
      <c r="O290"/>
      <c r="P290"/>
      <c r="Q290"/>
    </row>
    <row r="291" spans="2:17" x14ac:dyDescent="0.25">
      <c r="B291" s="570" t="s">
        <v>369</v>
      </c>
      <c r="C291" s="569">
        <v>1</v>
      </c>
      <c r="D291" s="471">
        <v>6875823064</v>
      </c>
      <c r="E291" s="470">
        <v>42456.800000000003</v>
      </c>
      <c r="F291" s="471">
        <v>540</v>
      </c>
      <c r="G291" s="471">
        <v>529</v>
      </c>
      <c r="H291"/>
      <c r="I291"/>
      <c r="J291"/>
      <c r="K291"/>
      <c r="L291"/>
      <c r="M291"/>
      <c r="N291"/>
      <c r="O291"/>
      <c r="P291"/>
      <c r="Q291"/>
    </row>
    <row r="292" spans="2:17" x14ac:dyDescent="0.25">
      <c r="B292" s="570" t="s">
        <v>753</v>
      </c>
      <c r="C292" s="569">
        <v>49</v>
      </c>
      <c r="D292" s="471">
        <v>267922917915</v>
      </c>
      <c r="E292" s="470">
        <v>1803710.7500000007</v>
      </c>
      <c r="F292" s="471">
        <v>23378</v>
      </c>
      <c r="G292" s="471">
        <v>24544</v>
      </c>
      <c r="H292"/>
      <c r="I292"/>
      <c r="J292"/>
      <c r="K292"/>
      <c r="L292"/>
      <c r="M292"/>
      <c r="N292"/>
      <c r="O292"/>
      <c r="P292"/>
      <c r="Q292"/>
    </row>
    <row r="293" spans="2:17" x14ac:dyDescent="0.25">
      <c r="B293" s="570" t="s">
        <v>1179</v>
      </c>
      <c r="C293" s="569">
        <v>103</v>
      </c>
      <c r="D293" s="471">
        <v>483680458926</v>
      </c>
      <c r="E293" s="470">
        <v>2323479.9699999997</v>
      </c>
      <c r="F293" s="471">
        <v>23746</v>
      </c>
      <c r="G293" s="471">
        <v>24009</v>
      </c>
    </row>
    <row r="294" spans="2:17" x14ac:dyDescent="0.25">
      <c r="B294" s="570" t="s">
        <v>176</v>
      </c>
      <c r="C294" s="569">
        <v>5</v>
      </c>
      <c r="D294" s="471">
        <v>17769123346</v>
      </c>
      <c r="E294" s="470">
        <v>110568.49999999999</v>
      </c>
      <c r="F294" s="471">
        <v>1054</v>
      </c>
      <c r="G294" s="471">
        <v>1109</v>
      </c>
    </row>
    <row r="295" spans="2:17" x14ac:dyDescent="0.25">
      <c r="B295" s="570" t="s">
        <v>452</v>
      </c>
      <c r="C295" s="569">
        <v>1</v>
      </c>
      <c r="D295" s="471">
        <v>3429875138</v>
      </c>
      <c r="E295" s="470">
        <v>25347.1</v>
      </c>
      <c r="F295" s="471">
        <v>271</v>
      </c>
      <c r="G295" s="471">
        <v>271</v>
      </c>
    </row>
    <row r="296" spans="2:17" x14ac:dyDescent="0.25">
      <c r="B296" s="570" t="s">
        <v>175</v>
      </c>
      <c r="C296" s="569">
        <v>2</v>
      </c>
      <c r="D296" s="471">
        <v>3904553270</v>
      </c>
      <c r="E296" s="470">
        <v>22068.06</v>
      </c>
      <c r="F296" s="471">
        <v>262</v>
      </c>
      <c r="G296" s="471">
        <v>262</v>
      </c>
    </row>
    <row r="297" spans="2:17" x14ac:dyDescent="0.25">
      <c r="B297" s="570" t="s">
        <v>174</v>
      </c>
      <c r="C297" s="569">
        <v>16</v>
      </c>
      <c r="D297" s="471">
        <v>69465437218</v>
      </c>
      <c r="E297" s="470">
        <v>285546.73999999993</v>
      </c>
      <c r="F297" s="471">
        <v>2457</v>
      </c>
      <c r="G297" s="471">
        <v>2477</v>
      </c>
    </row>
    <row r="298" spans="2:17" x14ac:dyDescent="0.25">
      <c r="B298" s="312" t="s">
        <v>2257</v>
      </c>
      <c r="C298" s="569">
        <v>235</v>
      </c>
      <c r="D298" s="471">
        <v>1134831090220.4731</v>
      </c>
      <c r="E298" s="470">
        <v>5760780.0700000031</v>
      </c>
      <c r="F298" s="471">
        <v>63825</v>
      </c>
      <c r="G298" s="471">
        <v>54976</v>
      </c>
    </row>
    <row r="299" spans="2:17" x14ac:dyDescent="0.25">
      <c r="B299"/>
      <c r="C299"/>
      <c r="D299"/>
      <c r="E299"/>
      <c r="F299"/>
      <c r="G299"/>
    </row>
    <row r="300" spans="2:17" x14ac:dyDescent="0.25">
      <c r="B300"/>
      <c r="C300"/>
      <c r="D300"/>
      <c r="E300"/>
      <c r="F300"/>
      <c r="G300"/>
    </row>
    <row r="301" spans="2:17" x14ac:dyDescent="0.25">
      <c r="B301"/>
      <c r="C301"/>
      <c r="D301"/>
      <c r="E301"/>
      <c r="F301"/>
      <c r="G301"/>
    </row>
    <row r="302" spans="2:17" x14ac:dyDescent="0.25">
      <c r="B302"/>
      <c r="C302"/>
      <c r="D302"/>
      <c r="E302"/>
      <c r="F302"/>
      <c r="G302"/>
    </row>
    <row r="303" spans="2:17" x14ac:dyDescent="0.25">
      <c r="B303"/>
      <c r="C303"/>
      <c r="D303"/>
      <c r="E303"/>
      <c r="F303"/>
      <c r="G303"/>
    </row>
    <row r="304" spans="2:17" x14ac:dyDescent="0.25">
      <c r="B304"/>
      <c r="C304"/>
      <c r="D304"/>
      <c r="E304"/>
      <c r="F304"/>
      <c r="G304"/>
    </row>
    <row r="305" spans="2:7" x14ac:dyDescent="0.25">
      <c r="B305"/>
      <c r="C305"/>
      <c r="D305"/>
      <c r="E305"/>
      <c r="F305"/>
      <c r="G305"/>
    </row>
    <row r="306" spans="2:7" x14ac:dyDescent="0.25">
      <c r="B306"/>
      <c r="C306"/>
      <c r="D306"/>
      <c r="E306"/>
      <c r="F306"/>
      <c r="G306"/>
    </row>
    <row r="307" spans="2:7" x14ac:dyDescent="0.25">
      <c r="B307"/>
      <c r="C307"/>
      <c r="D307"/>
      <c r="E307"/>
      <c r="F307"/>
      <c r="G307"/>
    </row>
    <row r="308" spans="2:7" x14ac:dyDescent="0.25">
      <c r="B308"/>
      <c r="C308"/>
      <c r="D308"/>
      <c r="E308"/>
      <c r="F308"/>
      <c r="G308"/>
    </row>
    <row r="309" spans="2:7" x14ac:dyDescent="0.25">
      <c r="B309"/>
      <c r="C309"/>
      <c r="D309"/>
      <c r="E309"/>
      <c r="F309"/>
      <c r="G309"/>
    </row>
    <row r="310" spans="2:7" x14ac:dyDescent="0.25">
      <c r="B310"/>
      <c r="C310"/>
      <c r="D310"/>
      <c r="E310"/>
      <c r="F310"/>
      <c r="G310"/>
    </row>
    <row r="311" spans="2:7" x14ac:dyDescent="0.25">
      <c r="B311"/>
      <c r="C311"/>
      <c r="D311"/>
      <c r="E311"/>
      <c r="F311"/>
      <c r="G311"/>
    </row>
    <row r="312" spans="2:7" x14ac:dyDescent="0.25">
      <c r="B312"/>
      <c r="C312"/>
      <c r="D312"/>
      <c r="E312"/>
      <c r="F312"/>
      <c r="G312"/>
    </row>
    <row r="313" spans="2:7" x14ac:dyDescent="0.25">
      <c r="B313"/>
      <c r="C313"/>
      <c r="D313"/>
      <c r="E313"/>
      <c r="F313"/>
      <c r="G313"/>
    </row>
    <row r="314" spans="2:7" x14ac:dyDescent="0.25">
      <c r="B314"/>
      <c r="C314"/>
      <c r="D314"/>
      <c r="E314"/>
      <c r="F314"/>
      <c r="G314"/>
    </row>
  </sheetData>
  <pageMargins left="0.7" right="0.7" top="0.75" bottom="0.75" header="0.3" footer="0.3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114"/>
  <sheetViews>
    <sheetView view="pageBreakPreview" zoomScaleNormal="40" zoomScaleSheetLayoutView="100" workbookViewId="0">
      <selection activeCell="R33" sqref="R33"/>
    </sheetView>
  </sheetViews>
  <sheetFormatPr defaultColWidth="9.28515625" defaultRowHeight="15.75" outlineLevelCol="1" x14ac:dyDescent="0.25"/>
  <cols>
    <col min="1" max="1" width="5.7109375" style="19" customWidth="1"/>
    <col min="2" max="2" width="43.85546875" style="19" customWidth="1"/>
    <col min="3" max="3" width="14.140625" style="19" customWidth="1"/>
    <col min="4" max="4" width="25" style="19" customWidth="1"/>
    <col min="5" max="5" width="31.140625" style="19" customWidth="1" outlineLevel="1"/>
    <col min="6" max="6" width="27.7109375" style="19" customWidth="1" outlineLevel="1"/>
    <col min="7" max="7" width="32" style="19" customWidth="1" outlineLevel="1"/>
    <col min="8" max="8" width="29.5703125" style="19" customWidth="1" outlineLevel="1"/>
    <col min="9" max="9" width="26.42578125" style="19" customWidth="1" outlineLevel="1"/>
    <col min="10" max="10" width="27.7109375" style="19" customWidth="1" outlineLevel="1"/>
    <col min="11" max="12" width="21.28515625" style="19" customWidth="1" outlineLevel="1"/>
    <col min="13" max="13" width="22.42578125" style="19" customWidth="1" outlineLevel="1"/>
    <col min="14" max="14" width="22.7109375" style="19" customWidth="1" outlineLevel="1"/>
    <col min="15" max="15" width="16.28515625" style="19" customWidth="1" outlineLevel="1"/>
    <col min="16" max="17" width="22.28515625" style="19" customWidth="1" outlineLevel="1"/>
    <col min="18" max="18" width="17.28515625" style="19" customWidth="1" outlineLevel="1"/>
    <col min="19" max="19" width="20.28515625" style="19" customWidth="1" outlineLevel="1"/>
    <col min="20" max="20" width="17.5703125" style="19" customWidth="1" outlineLevel="1"/>
    <col min="21" max="22" width="24.42578125" style="19" customWidth="1" outlineLevel="1"/>
    <col min="23" max="23" width="26.42578125" style="19" customWidth="1" outlineLevel="1"/>
    <col min="24" max="24" width="26.85546875" style="19" customWidth="1" outlineLevel="1"/>
    <col min="25" max="25" width="21.140625" style="19" customWidth="1" outlineLevel="1"/>
    <col min="26" max="26" width="24.140625" style="19" customWidth="1" outlineLevel="1"/>
    <col min="27" max="27" width="35.42578125" style="19" customWidth="1" outlineLevel="1"/>
    <col min="28" max="28" width="28.28515625" style="19" customWidth="1" outlineLevel="1"/>
    <col min="29" max="29" width="24.85546875" style="19" customWidth="1" outlineLevel="1"/>
    <col min="30" max="30" width="21.7109375" style="71" customWidth="1" outlineLevel="1"/>
    <col min="31" max="31" width="15.7109375" style="136" customWidth="1" outlineLevel="1"/>
    <col min="32" max="32" width="15.5703125" style="136" customWidth="1" outlineLevel="1"/>
    <col min="33" max="33" width="16.5703125" style="136" customWidth="1" outlineLevel="1"/>
    <col min="34" max="34" width="26" style="19" customWidth="1" outlineLevel="1"/>
    <col min="35" max="35" width="14" style="19" hidden="1" customWidth="1"/>
    <col min="36" max="36" width="13.7109375" style="19" hidden="1" customWidth="1"/>
    <col min="37" max="38" width="9.28515625" style="19" hidden="1" customWidth="1"/>
    <col min="39" max="39" width="9.42578125" style="19" hidden="1" customWidth="1"/>
    <col min="40" max="41" width="9.28515625" style="19" hidden="1" customWidth="1"/>
    <col min="42" max="44" width="9.28515625" style="19" customWidth="1"/>
    <col min="45" max="16384" width="9.28515625" style="19"/>
  </cols>
  <sheetData>
    <row r="1" spans="1:39" ht="19.5" customHeight="1" thickBot="1" x14ac:dyDescent="0.3">
      <c r="B1" s="519"/>
      <c r="C1" s="196"/>
      <c r="D1" s="41" t="s">
        <v>1611</v>
      </c>
    </row>
    <row r="2" spans="1:39" ht="16.5" thickBot="1" x14ac:dyDescent="0.3">
      <c r="C2" s="197"/>
      <c r="D2" s="41" t="s">
        <v>1613</v>
      </c>
      <c r="E2" s="519"/>
    </row>
    <row r="3" spans="1:39" ht="16.5" thickBot="1" x14ac:dyDescent="0.3">
      <c r="C3" s="563"/>
      <c r="D3" s="41" t="s">
        <v>1780</v>
      </c>
      <c r="E3" s="519"/>
    </row>
    <row r="4" spans="1:39" ht="25.5" x14ac:dyDescent="0.25">
      <c r="B4" s="20" t="s">
        <v>1083</v>
      </c>
      <c r="C4" s="494"/>
      <c r="D4" s="41" t="s">
        <v>2308</v>
      </c>
      <c r="E4" s="519"/>
    </row>
    <row r="5" spans="1:39" x14ac:dyDescent="0.25">
      <c r="A5" s="40"/>
      <c r="C5" s="40"/>
      <c r="E5" s="40"/>
      <c r="G5" s="40"/>
      <c r="I5" s="40"/>
      <c r="K5" s="40"/>
      <c r="M5" s="40"/>
      <c r="O5" s="40"/>
      <c r="Q5" s="40"/>
      <c r="S5" s="40"/>
      <c r="U5" s="40"/>
      <c r="W5" s="40"/>
      <c r="Y5" s="40"/>
      <c r="AA5" s="40"/>
      <c r="AC5" s="40"/>
      <c r="AD5" s="19"/>
      <c r="AE5" s="40"/>
      <c r="AF5" s="19"/>
      <c r="AG5" s="40"/>
      <c r="AI5" s="40"/>
      <c r="AK5" s="40"/>
      <c r="AM5" s="40"/>
    </row>
    <row r="6" spans="1:39" ht="91.5" customHeight="1" x14ac:dyDescent="0.25">
      <c r="A6" s="21" t="s">
        <v>0</v>
      </c>
      <c r="B6" s="128" t="s">
        <v>794</v>
      </c>
      <c r="C6" s="21" t="s">
        <v>751</v>
      </c>
      <c r="D6" s="21" t="s">
        <v>752</v>
      </c>
      <c r="E6" s="21" t="s">
        <v>749</v>
      </c>
      <c r="F6" s="21" t="s">
        <v>1618</v>
      </c>
      <c r="G6" s="21" t="s">
        <v>748</v>
      </c>
      <c r="H6" s="21" t="s">
        <v>1619</v>
      </c>
      <c r="I6" s="21" t="s">
        <v>26</v>
      </c>
      <c r="J6" s="21" t="s">
        <v>27</v>
      </c>
      <c r="K6" s="21" t="s">
        <v>2006</v>
      </c>
      <c r="L6" s="21" t="s">
        <v>2374</v>
      </c>
      <c r="M6" s="21" t="s">
        <v>676</v>
      </c>
      <c r="N6" s="21" t="s">
        <v>677</v>
      </c>
      <c r="O6" s="21" t="s">
        <v>56</v>
      </c>
      <c r="P6" s="21" t="s">
        <v>30</v>
      </c>
      <c r="Q6" s="21" t="s">
        <v>57</v>
      </c>
      <c r="R6" s="21" t="s">
        <v>31</v>
      </c>
      <c r="S6" s="21" t="s">
        <v>33</v>
      </c>
      <c r="T6" s="21" t="s">
        <v>34</v>
      </c>
      <c r="U6" s="21" t="s">
        <v>807</v>
      </c>
      <c r="V6" s="21" t="s">
        <v>808</v>
      </c>
      <c r="W6" s="21" t="s">
        <v>809</v>
      </c>
      <c r="X6" s="21" t="s">
        <v>2424</v>
      </c>
      <c r="Y6" s="21" t="s">
        <v>35</v>
      </c>
      <c r="Z6" s="21" t="s">
        <v>593</v>
      </c>
      <c r="AA6" s="73" t="s">
        <v>1480</v>
      </c>
      <c r="AB6" s="21" t="s">
        <v>592</v>
      </c>
      <c r="AC6" s="21" t="s">
        <v>2304</v>
      </c>
      <c r="AD6" s="134" t="s">
        <v>1546</v>
      </c>
      <c r="AE6" s="134" t="s">
        <v>1559</v>
      </c>
      <c r="AF6" s="134" t="s">
        <v>1590</v>
      </c>
      <c r="AG6" s="21" t="s">
        <v>1452</v>
      </c>
      <c r="AH6" s="21" t="s">
        <v>1719</v>
      </c>
      <c r="AI6" s="21" t="s">
        <v>2416</v>
      </c>
      <c r="AJ6" s="571" t="s">
        <v>2417</v>
      </c>
      <c r="AK6" s="571" t="s">
        <v>2418</v>
      </c>
      <c r="AL6" s="571" t="s">
        <v>2419</v>
      </c>
      <c r="AM6" s="19" t="s">
        <v>2230</v>
      </c>
    </row>
    <row r="7" spans="1:39" s="40" customFormat="1" ht="30.75" customHeight="1" x14ac:dyDescent="0.25">
      <c r="A7" s="542">
        <v>1</v>
      </c>
      <c r="B7" s="543" t="s">
        <v>2044</v>
      </c>
      <c r="C7" s="544">
        <v>44497</v>
      </c>
      <c r="D7" s="542" t="s">
        <v>1179</v>
      </c>
      <c r="E7" s="556" t="s">
        <v>736</v>
      </c>
      <c r="F7" s="545" t="s">
        <v>1637</v>
      </c>
      <c r="G7" s="556" t="s">
        <v>825</v>
      </c>
      <c r="H7" s="545" t="s">
        <v>1638</v>
      </c>
      <c r="I7" s="546">
        <v>14682663880</v>
      </c>
      <c r="J7" s="547">
        <v>52536.800000000003</v>
      </c>
      <c r="K7" s="547">
        <v>35232.120000000003</v>
      </c>
      <c r="L7" s="560">
        <v>3356.68</v>
      </c>
      <c r="M7" s="561">
        <v>279.47399999999999</v>
      </c>
      <c r="N7" s="561">
        <v>385</v>
      </c>
      <c r="O7" s="544">
        <v>44518</v>
      </c>
      <c r="P7" s="546">
        <v>390</v>
      </c>
      <c r="Q7" s="546"/>
      <c r="R7" s="542">
        <v>12.16</v>
      </c>
      <c r="S7" s="544">
        <v>44258</v>
      </c>
      <c r="T7" s="544">
        <v>45294</v>
      </c>
      <c r="U7" s="544">
        <v>45385</v>
      </c>
      <c r="V7" s="544">
        <v>45476</v>
      </c>
      <c r="W7" s="544">
        <v>45568</v>
      </c>
      <c r="X7" s="551" t="s">
        <v>2401</v>
      </c>
      <c r="Y7" s="546">
        <v>131346323</v>
      </c>
      <c r="Z7" s="552" t="s">
        <v>648</v>
      </c>
      <c r="AA7" s="546"/>
      <c r="AB7" s="544" t="s">
        <v>2080</v>
      </c>
      <c r="AC7" s="544" t="s">
        <v>2305</v>
      </c>
      <c r="AD7" s="553">
        <v>100</v>
      </c>
      <c r="AE7" s="562">
        <v>3</v>
      </c>
      <c r="AF7" s="554"/>
      <c r="AG7" s="554"/>
      <c r="AH7" s="554"/>
      <c r="AI7" s="24" t="s">
        <v>1179</v>
      </c>
      <c r="AJ7" s="24" t="s">
        <v>1179</v>
      </c>
      <c r="AK7" s="40" t="str">
        <f>CONCATENATE(YEAR(O7)," год")</f>
        <v>2021 год</v>
      </c>
      <c r="AL7" s="40" t="str">
        <f>CONCATENATE(YEAR(O7)," год")</f>
        <v>2021 год</v>
      </c>
      <c r="AM7" s="40">
        <v>1</v>
      </c>
    </row>
    <row r="8" spans="1:39" s="40" customFormat="1" ht="31.5" customHeight="1" x14ac:dyDescent="0.25">
      <c r="A8" s="24">
        <v>2</v>
      </c>
      <c r="B8" s="478" t="s">
        <v>1551</v>
      </c>
      <c r="C8" s="35">
        <v>44504</v>
      </c>
      <c r="D8" s="24" t="s">
        <v>369</v>
      </c>
      <c r="E8" s="24" t="s">
        <v>740</v>
      </c>
      <c r="F8" s="145" t="s">
        <v>1644</v>
      </c>
      <c r="G8" s="24" t="s">
        <v>741</v>
      </c>
      <c r="H8" s="144">
        <v>191040002530</v>
      </c>
      <c r="I8" s="25">
        <v>7324207552</v>
      </c>
      <c r="J8" s="264">
        <f>84002.5-35757.72</f>
        <v>48244.78</v>
      </c>
      <c r="K8" s="264">
        <v>35637.800000000003</v>
      </c>
      <c r="L8" s="529"/>
      <c r="M8" s="103">
        <v>154.4</v>
      </c>
      <c r="N8" s="103">
        <v>200</v>
      </c>
      <c r="O8" s="35">
        <v>44523</v>
      </c>
      <c r="P8" s="28">
        <f>1040-480</f>
        <v>560</v>
      </c>
      <c r="Q8" s="28"/>
      <c r="R8" s="24">
        <v>5</v>
      </c>
      <c r="S8" s="35">
        <v>45026</v>
      </c>
      <c r="T8" s="35">
        <v>45848</v>
      </c>
      <c r="U8" s="24"/>
      <c r="V8" s="24"/>
      <c r="W8" s="24"/>
      <c r="X8" s="35">
        <v>45848</v>
      </c>
      <c r="Y8" s="25">
        <v>116526220</v>
      </c>
      <c r="Z8" s="30" t="s">
        <v>650</v>
      </c>
      <c r="AA8" s="25"/>
      <c r="AB8" s="30" t="s">
        <v>2215</v>
      </c>
      <c r="AC8" s="30" t="s">
        <v>1988</v>
      </c>
      <c r="AD8" s="58">
        <v>80</v>
      </c>
      <c r="AE8" s="36">
        <v>0</v>
      </c>
      <c r="AF8" s="36"/>
      <c r="AG8" s="36"/>
      <c r="AH8" s="36"/>
      <c r="AI8" s="24" t="s">
        <v>369</v>
      </c>
      <c r="AJ8" s="24" t="s">
        <v>369</v>
      </c>
      <c r="AK8" s="40" t="str">
        <f t="shared" ref="AK8:AK53" si="0">CONCATENATE(YEAR(O8)," год")</f>
        <v>2021 год</v>
      </c>
      <c r="AL8" s="40" t="str">
        <f t="shared" ref="AL8:AL53" si="1">CONCATENATE(YEAR(O8)," год")</f>
        <v>2021 год</v>
      </c>
      <c r="AM8" s="40">
        <v>1</v>
      </c>
    </row>
    <row r="9" spans="1:39" s="282" customFormat="1" ht="31.5" x14ac:dyDescent="0.25">
      <c r="A9" s="273">
        <v>3</v>
      </c>
      <c r="B9" s="479" t="s">
        <v>1187</v>
      </c>
      <c r="C9" s="274">
        <v>44749</v>
      </c>
      <c r="D9" s="273" t="s">
        <v>1179</v>
      </c>
      <c r="E9" s="273" t="s">
        <v>711</v>
      </c>
      <c r="F9" s="283">
        <v>180440021488</v>
      </c>
      <c r="G9" s="273" t="s">
        <v>786</v>
      </c>
      <c r="H9" s="275" t="s">
        <v>1997</v>
      </c>
      <c r="I9" s="284">
        <v>5361772296</v>
      </c>
      <c r="J9" s="285">
        <v>34095.269999999997</v>
      </c>
      <c r="K9" s="285">
        <v>22518.75</v>
      </c>
      <c r="L9" s="285">
        <v>3377.59</v>
      </c>
      <c r="M9" s="286">
        <v>157.19999999999999</v>
      </c>
      <c r="N9" s="286">
        <v>320</v>
      </c>
      <c r="O9" s="287">
        <v>44783</v>
      </c>
      <c r="P9" s="276">
        <v>294</v>
      </c>
      <c r="Q9" s="276"/>
      <c r="R9" s="273">
        <v>8</v>
      </c>
      <c r="S9" s="274">
        <v>44636</v>
      </c>
      <c r="T9" s="274">
        <v>45185</v>
      </c>
      <c r="U9" s="274">
        <v>45276</v>
      </c>
      <c r="V9" s="274">
        <v>45367</v>
      </c>
      <c r="W9" s="273"/>
      <c r="X9" s="280" t="s">
        <v>1737</v>
      </c>
      <c r="Y9" s="276">
        <v>22318259</v>
      </c>
      <c r="Z9" s="274" t="s">
        <v>670</v>
      </c>
      <c r="AA9" s="274"/>
      <c r="AB9" s="281" t="s">
        <v>2080</v>
      </c>
      <c r="AC9" s="281" t="s">
        <v>2305</v>
      </c>
      <c r="AD9" s="278">
        <v>93</v>
      </c>
      <c r="AE9" s="278">
        <v>2</v>
      </c>
      <c r="AF9" s="278"/>
      <c r="AG9" s="278"/>
      <c r="AH9" s="278"/>
      <c r="AI9" s="273" t="s">
        <v>1179</v>
      </c>
      <c r="AJ9" s="273" t="s">
        <v>1179</v>
      </c>
      <c r="AK9" s="40" t="str">
        <f t="shared" si="0"/>
        <v>2022 год</v>
      </c>
      <c r="AL9" s="40" t="str">
        <f t="shared" si="1"/>
        <v>2022 год</v>
      </c>
      <c r="AM9" s="40">
        <v>1</v>
      </c>
    </row>
    <row r="10" spans="1:39" ht="36.75" customHeight="1" x14ac:dyDescent="0.25">
      <c r="A10" s="542">
        <v>4</v>
      </c>
      <c r="B10" s="543" t="s">
        <v>1730</v>
      </c>
      <c r="C10" s="544">
        <v>44777</v>
      </c>
      <c r="D10" s="542" t="s">
        <v>760</v>
      </c>
      <c r="E10" s="542" t="s">
        <v>1135</v>
      </c>
      <c r="F10" s="545" t="s">
        <v>1634</v>
      </c>
      <c r="G10" s="542" t="s">
        <v>789</v>
      </c>
      <c r="H10" s="545" t="s">
        <v>1635</v>
      </c>
      <c r="I10" s="546">
        <v>3704798634</v>
      </c>
      <c r="J10" s="547">
        <v>10948.36</v>
      </c>
      <c r="K10" s="547">
        <v>7609.46</v>
      </c>
      <c r="L10" s="547">
        <v>1455.3</v>
      </c>
      <c r="M10" s="548">
        <v>338.38799999999998</v>
      </c>
      <c r="N10" s="548">
        <v>445.5</v>
      </c>
      <c r="O10" s="549">
        <v>44800</v>
      </c>
      <c r="P10" s="550">
        <v>93</v>
      </c>
      <c r="Q10" s="550"/>
      <c r="R10" s="542">
        <v>5</v>
      </c>
      <c r="S10" s="544">
        <v>44691</v>
      </c>
      <c r="T10" s="544">
        <v>45422</v>
      </c>
      <c r="U10" s="544">
        <v>45514</v>
      </c>
      <c r="V10" s="542"/>
      <c r="W10" s="542"/>
      <c r="X10" s="551" t="s">
        <v>2034</v>
      </c>
      <c r="Y10" s="546">
        <v>33068755</v>
      </c>
      <c r="Z10" s="544" t="s">
        <v>1080</v>
      </c>
      <c r="AA10" s="544"/>
      <c r="AB10" s="552" t="s">
        <v>2080</v>
      </c>
      <c r="AC10" s="552" t="s">
        <v>2305</v>
      </c>
      <c r="AD10" s="553">
        <v>84</v>
      </c>
      <c r="AE10" s="554">
        <v>1</v>
      </c>
      <c r="AF10" s="554"/>
      <c r="AG10" s="554">
        <v>273</v>
      </c>
      <c r="AH10" s="495"/>
      <c r="AI10" s="212" t="s">
        <v>760</v>
      </c>
      <c r="AJ10" s="212" t="s">
        <v>760</v>
      </c>
      <c r="AK10" s="40" t="str">
        <f t="shared" si="0"/>
        <v>2022 год</v>
      </c>
      <c r="AL10" s="40" t="str">
        <f t="shared" si="1"/>
        <v>2022 год</v>
      </c>
      <c r="AM10" s="40">
        <v>1</v>
      </c>
    </row>
    <row r="11" spans="1:39" s="282" customFormat="1" ht="31.5" x14ac:dyDescent="0.25">
      <c r="A11" s="273">
        <v>5</v>
      </c>
      <c r="B11" s="479" t="s">
        <v>1721</v>
      </c>
      <c r="C11" s="274">
        <v>44796</v>
      </c>
      <c r="D11" s="273" t="s">
        <v>452</v>
      </c>
      <c r="E11" s="273" t="s">
        <v>793</v>
      </c>
      <c r="F11" s="275" t="s">
        <v>1999</v>
      </c>
      <c r="G11" s="273" t="s">
        <v>790</v>
      </c>
      <c r="H11" s="290">
        <v>220240017482</v>
      </c>
      <c r="I11" s="284">
        <v>881590818</v>
      </c>
      <c r="J11" s="285">
        <v>6145.2</v>
      </c>
      <c r="K11" s="285">
        <v>2059.6</v>
      </c>
      <c r="L11" s="285"/>
      <c r="M11" s="286">
        <v>216.9</v>
      </c>
      <c r="N11" s="286">
        <v>257.5</v>
      </c>
      <c r="O11" s="287">
        <v>44823</v>
      </c>
      <c r="P11" s="276">
        <v>68</v>
      </c>
      <c r="Q11" s="276"/>
      <c r="R11" s="273">
        <v>4</v>
      </c>
      <c r="S11" s="274">
        <v>44679</v>
      </c>
      <c r="T11" s="274">
        <v>45258</v>
      </c>
      <c r="U11" s="274">
        <v>45350</v>
      </c>
      <c r="V11" s="274" t="s">
        <v>1781</v>
      </c>
      <c r="W11" s="273"/>
      <c r="X11" s="280" t="s">
        <v>2000</v>
      </c>
      <c r="Y11" s="284">
        <v>15542092</v>
      </c>
      <c r="Z11" s="274" t="s">
        <v>1175</v>
      </c>
      <c r="AA11" s="274"/>
      <c r="AB11" s="274" t="s">
        <v>2226</v>
      </c>
      <c r="AC11" s="274" t="s">
        <v>2306</v>
      </c>
      <c r="AD11" s="278">
        <v>81</v>
      </c>
      <c r="AE11" s="278">
        <v>2</v>
      </c>
      <c r="AF11" s="278"/>
      <c r="AG11" s="278">
        <v>246</v>
      </c>
      <c r="AH11" s="278"/>
      <c r="AI11" s="273" t="s">
        <v>452</v>
      </c>
      <c r="AJ11" s="273" t="s">
        <v>452</v>
      </c>
      <c r="AK11" s="40" t="str">
        <f t="shared" si="0"/>
        <v>2022 год</v>
      </c>
      <c r="AL11" s="40" t="str">
        <f t="shared" si="1"/>
        <v>2022 год</v>
      </c>
      <c r="AM11" s="40">
        <v>1</v>
      </c>
    </row>
    <row r="12" spans="1:39" x14ac:dyDescent="0.25">
      <c r="A12" s="24">
        <v>6</v>
      </c>
      <c r="B12" s="478" t="s">
        <v>1239</v>
      </c>
      <c r="C12" s="35">
        <v>44939</v>
      </c>
      <c r="D12" s="27" t="s">
        <v>1179</v>
      </c>
      <c r="E12" s="79" t="s">
        <v>827</v>
      </c>
      <c r="F12" s="145" t="s">
        <v>1632</v>
      </c>
      <c r="G12" s="27" t="s">
        <v>1290</v>
      </c>
      <c r="H12" s="145" t="s">
        <v>1633</v>
      </c>
      <c r="I12" s="25">
        <v>6548335303</v>
      </c>
      <c r="J12" s="269">
        <v>30385.95</v>
      </c>
      <c r="K12" s="269">
        <v>17064.439999999999</v>
      </c>
      <c r="L12" s="269">
        <v>1435.64</v>
      </c>
      <c r="M12" s="36">
        <v>304.77300000000002</v>
      </c>
      <c r="N12" s="36">
        <v>393.23700000000002</v>
      </c>
      <c r="O12" s="100">
        <v>44959</v>
      </c>
      <c r="P12" s="28">
        <v>295</v>
      </c>
      <c r="Q12" s="28"/>
      <c r="R12" s="24" t="s">
        <v>1241</v>
      </c>
      <c r="S12" s="35">
        <v>44895</v>
      </c>
      <c r="T12" s="35">
        <v>45381</v>
      </c>
      <c r="U12" s="35">
        <v>45473</v>
      </c>
      <c r="V12" s="35">
        <v>45565</v>
      </c>
      <c r="W12" s="35">
        <v>45656</v>
      </c>
      <c r="X12" s="35">
        <v>45656</v>
      </c>
      <c r="Y12" s="98">
        <v>61057630</v>
      </c>
      <c r="Z12" s="35" t="s">
        <v>1313</v>
      </c>
      <c r="AA12" s="35"/>
      <c r="AB12" s="35" t="s">
        <v>2080</v>
      </c>
      <c r="AC12" s="35" t="s">
        <v>2305</v>
      </c>
      <c r="AD12" s="36">
        <v>75</v>
      </c>
      <c r="AE12" s="36">
        <v>1</v>
      </c>
      <c r="AF12" s="36"/>
      <c r="AG12" s="36">
        <v>301</v>
      </c>
      <c r="AH12" s="36"/>
      <c r="AI12" s="27" t="s">
        <v>1179</v>
      </c>
      <c r="AJ12" s="27" t="s">
        <v>1179</v>
      </c>
      <c r="AK12" s="40" t="str">
        <f t="shared" si="0"/>
        <v>2023 год</v>
      </c>
      <c r="AL12" s="40" t="str">
        <f t="shared" si="1"/>
        <v>2023 год</v>
      </c>
      <c r="AM12" s="40">
        <v>1</v>
      </c>
    </row>
    <row r="13" spans="1:39" ht="31.5" x14ac:dyDescent="0.25">
      <c r="A13" s="542">
        <v>7</v>
      </c>
      <c r="B13" s="543" t="s">
        <v>1537</v>
      </c>
      <c r="C13" s="544">
        <v>44978</v>
      </c>
      <c r="D13" s="542" t="s">
        <v>174</v>
      </c>
      <c r="E13" s="542" t="s">
        <v>1135</v>
      </c>
      <c r="F13" s="545" t="s">
        <v>1634</v>
      </c>
      <c r="G13" s="542" t="s">
        <v>1294</v>
      </c>
      <c r="H13" s="545" t="s">
        <v>1636</v>
      </c>
      <c r="I13" s="546">
        <v>2757296296</v>
      </c>
      <c r="J13" s="555">
        <v>9446.26</v>
      </c>
      <c r="K13" s="555">
        <v>6432.11</v>
      </c>
      <c r="L13" s="555">
        <v>1306.0999999999999</v>
      </c>
      <c r="M13" s="554">
        <v>291.89999999999998</v>
      </c>
      <c r="N13" s="554">
        <v>421.9</v>
      </c>
      <c r="O13" s="549">
        <v>44991</v>
      </c>
      <c r="P13" s="550">
        <v>103</v>
      </c>
      <c r="Q13" s="550"/>
      <c r="R13" s="542">
        <v>5</v>
      </c>
      <c r="S13" s="544">
        <v>44903</v>
      </c>
      <c r="T13" s="544">
        <v>45268</v>
      </c>
      <c r="U13" s="544">
        <v>45359</v>
      </c>
      <c r="V13" s="544">
        <v>45451</v>
      </c>
      <c r="W13" s="544">
        <v>45543</v>
      </c>
      <c r="X13" s="551" t="s">
        <v>2203</v>
      </c>
      <c r="Y13" s="550">
        <v>24124259</v>
      </c>
      <c r="Z13" s="544" t="s">
        <v>1353</v>
      </c>
      <c r="AA13" s="544"/>
      <c r="AB13" s="552" t="s">
        <v>2079</v>
      </c>
      <c r="AC13" s="552" t="s">
        <v>2307</v>
      </c>
      <c r="AD13" s="554">
        <v>85</v>
      </c>
      <c r="AE13" s="554">
        <v>3</v>
      </c>
      <c r="AF13" s="554"/>
      <c r="AG13" s="554">
        <v>327</v>
      </c>
      <c r="AH13" s="554"/>
      <c r="AI13" s="212" t="s">
        <v>174</v>
      </c>
      <c r="AJ13" s="212" t="s">
        <v>174</v>
      </c>
      <c r="AK13" s="40" t="str">
        <f t="shared" si="0"/>
        <v>2023 год</v>
      </c>
      <c r="AL13" s="40" t="str">
        <f t="shared" si="1"/>
        <v>2023 год</v>
      </c>
      <c r="AM13" s="40">
        <v>1</v>
      </c>
    </row>
    <row r="14" spans="1:39" s="282" customFormat="1" ht="31.5" x14ac:dyDescent="0.25">
      <c r="A14" s="273" t="s">
        <v>28</v>
      </c>
      <c r="B14" s="480" t="s">
        <v>1328</v>
      </c>
      <c r="C14" s="274">
        <v>44973</v>
      </c>
      <c r="D14" s="273" t="s">
        <v>1179</v>
      </c>
      <c r="E14" s="288" t="s">
        <v>711</v>
      </c>
      <c r="F14" s="283">
        <v>180440021488</v>
      </c>
      <c r="G14" s="288" t="s">
        <v>786</v>
      </c>
      <c r="H14" s="275" t="s">
        <v>1997</v>
      </c>
      <c r="I14" s="284">
        <v>2441858042</v>
      </c>
      <c r="J14" s="291">
        <v>0</v>
      </c>
      <c r="K14" s="291"/>
      <c r="L14" s="291"/>
      <c r="M14" s="286" t="s">
        <v>28</v>
      </c>
      <c r="N14" s="286" t="s">
        <v>28</v>
      </c>
      <c r="O14" s="287">
        <v>45000</v>
      </c>
      <c r="P14" s="276">
        <v>0</v>
      </c>
      <c r="Q14" s="276"/>
      <c r="R14" s="273">
        <v>0</v>
      </c>
      <c r="S14" s="274">
        <v>44636</v>
      </c>
      <c r="T14" s="274">
        <v>45185</v>
      </c>
      <c r="U14" s="274">
        <v>45276</v>
      </c>
      <c r="V14" s="274">
        <v>45367</v>
      </c>
      <c r="W14" s="273"/>
      <c r="X14" s="280" t="s">
        <v>1737</v>
      </c>
      <c r="Y14" s="276">
        <v>24418580</v>
      </c>
      <c r="Z14" s="281" t="s">
        <v>2309</v>
      </c>
      <c r="AA14" s="274"/>
      <c r="AB14" s="281" t="s">
        <v>2080</v>
      </c>
      <c r="AC14" s="281" t="s">
        <v>2305</v>
      </c>
      <c r="AD14" s="278">
        <v>93</v>
      </c>
      <c r="AE14" s="278">
        <v>2</v>
      </c>
      <c r="AF14" s="278"/>
      <c r="AG14" s="278">
        <v>340</v>
      </c>
      <c r="AH14" s="278"/>
      <c r="AI14" s="273"/>
      <c r="AJ14" s="24" t="s">
        <v>1179</v>
      </c>
      <c r="AK14" s="40"/>
      <c r="AL14" s="40" t="str">
        <f t="shared" si="1"/>
        <v>2023 год</v>
      </c>
      <c r="AM14" s="40"/>
    </row>
    <row r="15" spans="1:39" s="155" customFormat="1" ht="40.5" customHeight="1" x14ac:dyDescent="0.25">
      <c r="A15" s="496">
        <v>8</v>
      </c>
      <c r="B15" s="497" t="s">
        <v>1196</v>
      </c>
      <c r="C15" s="498">
        <v>44992</v>
      </c>
      <c r="D15" s="496" t="s">
        <v>1179</v>
      </c>
      <c r="E15" s="496" t="s">
        <v>716</v>
      </c>
      <c r="F15" s="499">
        <v>960340000376</v>
      </c>
      <c r="G15" s="496" t="s">
        <v>883</v>
      </c>
      <c r="H15" s="496" t="s">
        <v>1620</v>
      </c>
      <c r="I15" s="500">
        <v>2596718603</v>
      </c>
      <c r="J15" s="501">
        <v>10209.6</v>
      </c>
      <c r="K15" s="501">
        <v>7356.9</v>
      </c>
      <c r="L15" s="501">
        <v>489.7</v>
      </c>
      <c r="M15" s="502">
        <v>254.34100000000001</v>
      </c>
      <c r="N15" s="502">
        <v>390</v>
      </c>
      <c r="O15" s="503">
        <v>45016</v>
      </c>
      <c r="P15" s="504">
        <v>135</v>
      </c>
      <c r="Q15" s="504"/>
      <c r="R15" s="496">
        <v>16</v>
      </c>
      <c r="S15" s="498">
        <v>44853</v>
      </c>
      <c r="T15" s="498">
        <v>45370</v>
      </c>
      <c r="U15" s="518" t="s">
        <v>1772</v>
      </c>
      <c r="V15" s="505"/>
      <c r="W15" s="506"/>
      <c r="X15" s="498">
        <v>45735</v>
      </c>
      <c r="Y15" s="504">
        <v>24521857</v>
      </c>
      <c r="Z15" s="498" t="s">
        <v>1385</v>
      </c>
      <c r="AA15" s="498"/>
      <c r="AB15" s="498" t="s">
        <v>2080</v>
      </c>
      <c r="AC15" s="498" t="s">
        <v>2305</v>
      </c>
      <c r="AD15" s="502">
        <v>85</v>
      </c>
      <c r="AE15" s="502">
        <v>0</v>
      </c>
      <c r="AF15" s="502"/>
      <c r="AG15" s="502">
        <v>322</v>
      </c>
      <c r="AH15" s="502"/>
      <c r="AI15" s="154" t="s">
        <v>1179</v>
      </c>
      <c r="AJ15" s="154" t="s">
        <v>1179</v>
      </c>
      <c r="AK15" s="40" t="str">
        <f t="shared" si="0"/>
        <v>2023 год</v>
      </c>
      <c r="AL15" s="40" t="str">
        <f t="shared" si="1"/>
        <v>2023 год</v>
      </c>
      <c r="AM15" s="40">
        <v>1</v>
      </c>
    </row>
    <row r="16" spans="1:39" s="282" customFormat="1" ht="31.5" x14ac:dyDescent="0.25">
      <c r="A16" s="273">
        <v>9</v>
      </c>
      <c r="B16" s="479" t="s">
        <v>1344</v>
      </c>
      <c r="C16" s="274">
        <v>45023</v>
      </c>
      <c r="D16" s="273" t="s">
        <v>2071</v>
      </c>
      <c r="E16" s="288" t="s">
        <v>1400</v>
      </c>
      <c r="F16" s="289">
        <v>140740007872</v>
      </c>
      <c r="G16" s="288" t="s">
        <v>1401</v>
      </c>
      <c r="H16" s="290" t="s">
        <v>1998</v>
      </c>
      <c r="I16" s="284">
        <v>380442507</v>
      </c>
      <c r="J16" s="291">
        <v>2497.15</v>
      </c>
      <c r="K16" s="291">
        <v>1965.55</v>
      </c>
      <c r="L16" s="291"/>
      <c r="M16" s="278">
        <v>152.351</v>
      </c>
      <c r="N16" s="278">
        <v>271.83300000000003</v>
      </c>
      <c r="O16" s="287">
        <v>45044</v>
      </c>
      <c r="P16" s="276">
        <v>60</v>
      </c>
      <c r="Q16" s="276"/>
      <c r="R16" s="273">
        <v>5</v>
      </c>
      <c r="S16" s="274">
        <v>44974</v>
      </c>
      <c r="T16" s="274">
        <v>45155</v>
      </c>
      <c r="U16" s="274">
        <v>45247</v>
      </c>
      <c r="V16" s="274">
        <v>45339</v>
      </c>
      <c r="W16" s="273" t="s">
        <v>1982</v>
      </c>
      <c r="X16" s="280" t="s">
        <v>1981</v>
      </c>
      <c r="Y16" s="276">
        <v>3406925</v>
      </c>
      <c r="Z16" s="274" t="s">
        <v>1417</v>
      </c>
      <c r="AA16" s="274"/>
      <c r="AB16" s="274" t="s">
        <v>2226</v>
      </c>
      <c r="AC16" s="274" t="s">
        <v>2306</v>
      </c>
      <c r="AD16" s="278">
        <v>89</v>
      </c>
      <c r="AE16" s="278">
        <v>3</v>
      </c>
      <c r="AF16" s="278"/>
      <c r="AG16" s="278">
        <v>354</v>
      </c>
      <c r="AH16" s="278"/>
      <c r="AI16" s="273" t="s">
        <v>1835</v>
      </c>
      <c r="AJ16" s="273" t="s">
        <v>1835</v>
      </c>
      <c r="AK16" s="40" t="str">
        <f t="shared" si="0"/>
        <v>2023 год</v>
      </c>
      <c r="AL16" s="40" t="str">
        <f t="shared" si="1"/>
        <v>2023 год</v>
      </c>
      <c r="AM16" s="40">
        <v>1</v>
      </c>
    </row>
    <row r="17" spans="1:39" s="282" customFormat="1" ht="31.5" x14ac:dyDescent="0.25">
      <c r="A17" s="273">
        <v>10</v>
      </c>
      <c r="B17" s="479" t="s">
        <v>1346</v>
      </c>
      <c r="C17" s="274">
        <v>45051</v>
      </c>
      <c r="D17" s="273" t="s">
        <v>1179</v>
      </c>
      <c r="E17" s="273" t="s">
        <v>791</v>
      </c>
      <c r="F17" s="275" t="s">
        <v>1621</v>
      </c>
      <c r="G17" s="273" t="s">
        <v>1407</v>
      </c>
      <c r="H17" s="275" t="s">
        <v>1623</v>
      </c>
      <c r="I17" s="284">
        <v>6608817195</v>
      </c>
      <c r="J17" s="291">
        <v>20565.12</v>
      </c>
      <c r="K17" s="291">
        <v>16685.12</v>
      </c>
      <c r="L17" s="291"/>
      <c r="M17" s="278">
        <v>321.36099999999999</v>
      </c>
      <c r="N17" s="278">
        <v>440</v>
      </c>
      <c r="O17" s="287">
        <v>45077</v>
      </c>
      <c r="P17" s="276">
        <v>278</v>
      </c>
      <c r="Q17" s="276"/>
      <c r="R17" s="273">
        <v>20</v>
      </c>
      <c r="S17" s="274">
        <v>44981</v>
      </c>
      <c r="T17" s="274">
        <v>45620</v>
      </c>
      <c r="U17" s="276"/>
      <c r="V17" s="274"/>
      <c r="W17" s="273"/>
      <c r="X17" s="280" t="s">
        <v>2423</v>
      </c>
      <c r="Y17" s="276">
        <v>66088172</v>
      </c>
      <c r="Z17" s="274" t="s">
        <v>1438</v>
      </c>
      <c r="AA17" s="274"/>
      <c r="AB17" s="274" t="s">
        <v>2080</v>
      </c>
      <c r="AC17" s="274" t="s">
        <v>2305</v>
      </c>
      <c r="AD17" s="278">
        <v>92</v>
      </c>
      <c r="AE17" s="278">
        <v>0</v>
      </c>
      <c r="AF17" s="278">
        <v>0</v>
      </c>
      <c r="AG17" s="278">
        <v>368</v>
      </c>
      <c r="AH17" s="278"/>
      <c r="AI17" s="273" t="s">
        <v>1179</v>
      </c>
      <c r="AJ17" s="273" t="s">
        <v>1179</v>
      </c>
      <c r="AK17" s="626" t="str">
        <f t="shared" si="0"/>
        <v>2023 год</v>
      </c>
      <c r="AL17" s="626" t="str">
        <f t="shared" si="1"/>
        <v>2023 год</v>
      </c>
      <c r="AM17" s="626">
        <v>1</v>
      </c>
    </row>
    <row r="18" spans="1:39" s="282" customFormat="1" ht="31.5" x14ac:dyDescent="0.25">
      <c r="A18" s="273">
        <v>11</v>
      </c>
      <c r="B18" s="479" t="s">
        <v>1408</v>
      </c>
      <c r="C18" s="274">
        <v>45104</v>
      </c>
      <c r="D18" s="273" t="s">
        <v>1179</v>
      </c>
      <c r="E18" s="273" t="s">
        <v>1454</v>
      </c>
      <c r="F18" s="275" t="s">
        <v>1630</v>
      </c>
      <c r="G18" s="273" t="s">
        <v>1453</v>
      </c>
      <c r="H18" s="275" t="s">
        <v>1631</v>
      </c>
      <c r="I18" s="276">
        <v>3834322743</v>
      </c>
      <c r="J18" s="277">
        <v>12795</v>
      </c>
      <c r="K18" s="277">
        <v>9388.5</v>
      </c>
      <c r="L18" s="277">
        <v>526.5</v>
      </c>
      <c r="M18" s="278">
        <v>299.67399999999998</v>
      </c>
      <c r="N18" s="278">
        <v>440</v>
      </c>
      <c r="O18" s="279">
        <v>45126</v>
      </c>
      <c r="P18" s="273">
        <v>161</v>
      </c>
      <c r="Q18" s="273"/>
      <c r="R18" s="273">
        <v>24</v>
      </c>
      <c r="S18" s="274">
        <v>45027</v>
      </c>
      <c r="T18" s="274">
        <v>45454</v>
      </c>
      <c r="U18" s="274">
        <v>45546</v>
      </c>
      <c r="V18" s="274"/>
      <c r="W18" s="273"/>
      <c r="X18" s="280" t="s">
        <v>2021</v>
      </c>
      <c r="Y18" s="276">
        <v>33018568</v>
      </c>
      <c r="Z18" s="274" t="s">
        <v>1542</v>
      </c>
      <c r="AA18" s="274"/>
      <c r="AB18" s="281" t="s">
        <v>2080</v>
      </c>
      <c r="AC18" s="281" t="s">
        <v>2305</v>
      </c>
      <c r="AD18" s="278">
        <v>66</v>
      </c>
      <c r="AE18" s="278">
        <v>1</v>
      </c>
      <c r="AF18" s="278">
        <v>0</v>
      </c>
      <c r="AG18" s="278">
        <v>362</v>
      </c>
      <c r="AH18" s="278"/>
      <c r="AI18" s="273" t="s">
        <v>1179</v>
      </c>
      <c r="AJ18" s="273" t="s">
        <v>1179</v>
      </c>
      <c r="AK18" s="40" t="str">
        <f t="shared" si="0"/>
        <v>2023 год</v>
      </c>
      <c r="AL18" s="40" t="str">
        <f t="shared" si="1"/>
        <v>2023 год</v>
      </c>
      <c r="AM18" s="40">
        <v>1</v>
      </c>
    </row>
    <row r="19" spans="1:39" x14ac:dyDescent="0.25">
      <c r="A19" s="24">
        <v>12</v>
      </c>
      <c r="B19" s="478" t="s">
        <v>2007</v>
      </c>
      <c r="C19" s="35">
        <v>45111</v>
      </c>
      <c r="D19" s="27" t="s">
        <v>23</v>
      </c>
      <c r="E19" s="24" t="s">
        <v>817</v>
      </c>
      <c r="F19" s="145" t="s">
        <v>1628</v>
      </c>
      <c r="G19" s="24" t="s">
        <v>1455</v>
      </c>
      <c r="H19" s="145" t="s">
        <v>1629</v>
      </c>
      <c r="I19" s="98">
        <v>11378893818</v>
      </c>
      <c r="J19" s="240">
        <v>26579</v>
      </c>
      <c r="K19" s="240">
        <v>20305.2</v>
      </c>
      <c r="L19" s="240">
        <v>1218.3</v>
      </c>
      <c r="M19" s="36">
        <v>428.11500000000001</v>
      </c>
      <c r="N19" s="36">
        <v>563.66099999999994</v>
      </c>
      <c r="O19" s="100">
        <v>45127</v>
      </c>
      <c r="P19" s="27">
        <v>381</v>
      </c>
      <c r="Q19" s="27"/>
      <c r="R19" s="24">
        <v>9</v>
      </c>
      <c r="S19" s="35">
        <v>45014</v>
      </c>
      <c r="T19" s="35">
        <v>45564</v>
      </c>
      <c r="U19" s="35">
        <v>45655</v>
      </c>
      <c r="V19" s="35"/>
      <c r="W19" s="24"/>
      <c r="X19" s="35">
        <v>45655</v>
      </c>
      <c r="Y19" s="98">
        <v>100323683</v>
      </c>
      <c r="Z19" s="35" t="s">
        <v>1544</v>
      </c>
      <c r="AA19" s="35"/>
      <c r="AB19" s="99" t="s">
        <v>2081</v>
      </c>
      <c r="AC19" s="99" t="s">
        <v>2224</v>
      </c>
      <c r="AD19" s="36">
        <v>63</v>
      </c>
      <c r="AE19" s="36">
        <v>0</v>
      </c>
      <c r="AF19" s="36">
        <v>0</v>
      </c>
      <c r="AG19" s="36">
        <v>393</v>
      </c>
      <c r="AH19" s="36"/>
      <c r="AI19" s="27" t="s">
        <v>23</v>
      </c>
      <c r="AJ19" s="27" t="s">
        <v>23</v>
      </c>
      <c r="AK19" s="40" t="str">
        <f t="shared" si="0"/>
        <v>2023 год</v>
      </c>
      <c r="AL19" s="40" t="str">
        <f t="shared" si="1"/>
        <v>2023 год</v>
      </c>
      <c r="AM19" s="40">
        <v>1</v>
      </c>
    </row>
    <row r="20" spans="1:39" ht="31.5" x14ac:dyDescent="0.25">
      <c r="A20" s="273">
        <v>13</v>
      </c>
      <c r="B20" s="479" t="s">
        <v>1564</v>
      </c>
      <c r="C20" s="274">
        <v>45125</v>
      </c>
      <c r="D20" s="273" t="s">
        <v>1975</v>
      </c>
      <c r="E20" s="273" t="s">
        <v>758</v>
      </c>
      <c r="F20" s="275" t="s">
        <v>1645</v>
      </c>
      <c r="G20" s="273" t="s">
        <v>1412</v>
      </c>
      <c r="H20" s="275" t="s">
        <v>1646</v>
      </c>
      <c r="I20" s="276">
        <v>2953550085</v>
      </c>
      <c r="J20" s="277">
        <v>14028.4</v>
      </c>
      <c r="K20" s="277">
        <v>9219.4</v>
      </c>
      <c r="L20" s="277">
        <v>1971.1</v>
      </c>
      <c r="M20" s="278">
        <v>263.93299999999999</v>
      </c>
      <c r="N20" s="278">
        <v>289.37099999999998</v>
      </c>
      <c r="O20" s="287">
        <v>45156</v>
      </c>
      <c r="P20" s="273">
        <v>210</v>
      </c>
      <c r="Q20" s="273"/>
      <c r="R20" s="273">
        <v>5</v>
      </c>
      <c r="S20" s="274">
        <v>45005</v>
      </c>
      <c r="T20" s="274">
        <v>45588</v>
      </c>
      <c r="U20" s="276"/>
      <c r="V20" s="274"/>
      <c r="W20" s="273"/>
      <c r="X20" s="280" t="s">
        <v>2265</v>
      </c>
      <c r="Y20" s="276">
        <v>22334217</v>
      </c>
      <c r="Z20" s="274" t="s">
        <v>1548</v>
      </c>
      <c r="AA20" s="274"/>
      <c r="AB20" s="274" t="s">
        <v>2226</v>
      </c>
      <c r="AC20" s="274" t="s">
        <v>2306</v>
      </c>
      <c r="AD20" s="278">
        <v>86</v>
      </c>
      <c r="AE20" s="278">
        <v>0</v>
      </c>
      <c r="AF20" s="278">
        <v>1</v>
      </c>
      <c r="AG20" s="278">
        <v>401</v>
      </c>
      <c r="AH20" s="278"/>
      <c r="AI20" s="273" t="s">
        <v>1835</v>
      </c>
      <c r="AJ20" s="273" t="s">
        <v>1835</v>
      </c>
      <c r="AK20" s="40" t="str">
        <f t="shared" si="0"/>
        <v>2023 год</v>
      </c>
      <c r="AL20" s="40" t="str">
        <f t="shared" si="1"/>
        <v>2023 год</v>
      </c>
      <c r="AM20" s="40">
        <v>1</v>
      </c>
    </row>
    <row r="21" spans="1:39" ht="31.5" x14ac:dyDescent="0.25">
      <c r="A21" s="24">
        <v>14</v>
      </c>
      <c r="B21" s="478" t="s">
        <v>1560</v>
      </c>
      <c r="C21" s="35">
        <v>45139</v>
      </c>
      <c r="D21" s="24" t="s">
        <v>2072</v>
      </c>
      <c r="E21" s="24" t="s">
        <v>1557</v>
      </c>
      <c r="F21" s="211" t="s">
        <v>1641</v>
      </c>
      <c r="G21" s="24" t="s">
        <v>1581</v>
      </c>
      <c r="H21" s="145" t="s">
        <v>1642</v>
      </c>
      <c r="I21" s="98">
        <v>4916104675</v>
      </c>
      <c r="J21" s="240">
        <v>15148.34</v>
      </c>
      <c r="K21" s="240">
        <v>13381.08</v>
      </c>
      <c r="L21" s="240">
        <v>574.5</v>
      </c>
      <c r="M21" s="36">
        <v>324.53100000000001</v>
      </c>
      <c r="N21" s="36">
        <v>450</v>
      </c>
      <c r="O21" s="100">
        <v>45156</v>
      </c>
      <c r="P21" s="24">
        <v>216</v>
      </c>
      <c r="Q21" s="24"/>
      <c r="R21" s="24">
        <v>4</v>
      </c>
      <c r="S21" s="35">
        <v>45112</v>
      </c>
      <c r="T21" s="35">
        <v>45356</v>
      </c>
      <c r="U21" s="35">
        <v>45448</v>
      </c>
      <c r="V21" s="35">
        <v>45540</v>
      </c>
      <c r="W21" s="24"/>
      <c r="X21" s="35">
        <v>45540</v>
      </c>
      <c r="Y21" s="98">
        <v>44559067.490000002</v>
      </c>
      <c r="Z21" s="35" t="s">
        <v>1563</v>
      </c>
      <c r="AA21" s="35"/>
      <c r="AB21" s="99" t="s">
        <v>2081</v>
      </c>
      <c r="AC21" s="99" t="s">
        <v>2224</v>
      </c>
      <c r="AD21" s="36">
        <v>79</v>
      </c>
      <c r="AE21" s="36">
        <v>1</v>
      </c>
      <c r="AF21" s="36">
        <v>1</v>
      </c>
      <c r="AG21" s="36">
        <v>388</v>
      </c>
      <c r="AH21" s="36"/>
      <c r="AI21" s="24" t="s">
        <v>1843</v>
      </c>
      <c r="AJ21" s="24" t="s">
        <v>1843</v>
      </c>
      <c r="AK21" s="40" t="str">
        <f t="shared" si="0"/>
        <v>2023 год</v>
      </c>
      <c r="AL21" s="40" t="str">
        <f t="shared" si="1"/>
        <v>2023 год</v>
      </c>
      <c r="AM21" s="40">
        <v>1</v>
      </c>
    </row>
    <row r="22" spans="1:39" x14ac:dyDescent="0.25">
      <c r="A22" s="24">
        <v>15</v>
      </c>
      <c r="B22" s="478" t="s">
        <v>2008</v>
      </c>
      <c r="C22" s="35">
        <v>45153</v>
      </c>
      <c r="D22" s="27" t="s">
        <v>1179</v>
      </c>
      <c r="E22" s="24" t="s">
        <v>1513</v>
      </c>
      <c r="F22" s="145" t="s">
        <v>1652</v>
      </c>
      <c r="G22" s="24" t="s">
        <v>1578</v>
      </c>
      <c r="H22" s="145" t="s">
        <v>1625</v>
      </c>
      <c r="I22" s="98">
        <v>4002124719</v>
      </c>
      <c r="J22" s="240">
        <v>14200.88</v>
      </c>
      <c r="K22" s="240">
        <v>8791.9699999999993</v>
      </c>
      <c r="L22" s="240">
        <v>1122.58</v>
      </c>
      <c r="M22" s="36">
        <v>403.66199999999998</v>
      </c>
      <c r="N22" s="36">
        <v>458.76</v>
      </c>
      <c r="O22" s="100">
        <v>45177</v>
      </c>
      <c r="P22" s="27">
        <v>117</v>
      </c>
      <c r="Q22" s="27"/>
      <c r="R22" s="24">
        <v>9.18</v>
      </c>
      <c r="S22" s="35">
        <v>45083</v>
      </c>
      <c r="T22" s="35">
        <v>45632</v>
      </c>
      <c r="U22" s="98"/>
      <c r="V22" s="35"/>
      <c r="W22" s="24"/>
      <c r="X22" s="35">
        <v>45632</v>
      </c>
      <c r="Y22" s="98">
        <v>32891558</v>
      </c>
      <c r="Z22" s="35" t="s">
        <v>1570</v>
      </c>
      <c r="AA22" s="35"/>
      <c r="AB22" s="35" t="s">
        <v>2080</v>
      </c>
      <c r="AC22" s="35" t="s">
        <v>2305</v>
      </c>
      <c r="AD22" s="36">
        <v>65</v>
      </c>
      <c r="AE22" s="36">
        <v>0</v>
      </c>
      <c r="AF22" s="36">
        <v>1</v>
      </c>
      <c r="AG22" s="36">
        <v>406</v>
      </c>
      <c r="AH22" s="36"/>
      <c r="AI22" s="27" t="s">
        <v>1179</v>
      </c>
      <c r="AJ22" s="27" t="s">
        <v>1179</v>
      </c>
      <c r="AK22" s="40" t="str">
        <f t="shared" si="0"/>
        <v>2023 год</v>
      </c>
      <c r="AL22" s="40" t="str">
        <f t="shared" si="1"/>
        <v>2023 год</v>
      </c>
      <c r="AM22" s="40">
        <v>1</v>
      </c>
    </row>
    <row r="23" spans="1:39" ht="47.25" x14ac:dyDescent="0.25">
      <c r="A23" s="24">
        <v>16</v>
      </c>
      <c r="B23" s="478" t="s">
        <v>1553</v>
      </c>
      <c r="C23" s="35">
        <v>45181</v>
      </c>
      <c r="D23" s="27" t="s">
        <v>1975</v>
      </c>
      <c r="E23" s="24" t="s">
        <v>758</v>
      </c>
      <c r="F23" s="145" t="s">
        <v>1645</v>
      </c>
      <c r="G23" s="24" t="s">
        <v>1412</v>
      </c>
      <c r="H23" s="145" t="s">
        <v>1646</v>
      </c>
      <c r="I23" s="98">
        <v>2623982344</v>
      </c>
      <c r="J23" s="240">
        <v>11041.2</v>
      </c>
      <c r="K23" s="240">
        <v>7287.6</v>
      </c>
      <c r="L23" s="240">
        <v>1507.2</v>
      </c>
      <c r="M23" s="36">
        <v>237.654</v>
      </c>
      <c r="N23" s="36">
        <v>314.971</v>
      </c>
      <c r="O23" s="100">
        <v>45197</v>
      </c>
      <c r="P23" s="27">
        <v>140</v>
      </c>
      <c r="Q23" s="27"/>
      <c r="R23" s="24">
        <v>5</v>
      </c>
      <c r="S23" s="35">
        <v>45142</v>
      </c>
      <c r="T23" s="35">
        <v>45630</v>
      </c>
      <c r="U23" s="98"/>
      <c r="V23" s="35"/>
      <c r="W23" s="24"/>
      <c r="X23" s="35">
        <v>45630</v>
      </c>
      <c r="Y23" s="98">
        <v>15415734</v>
      </c>
      <c r="Z23" s="35" t="s">
        <v>2310</v>
      </c>
      <c r="AA23" s="35"/>
      <c r="AB23" s="35" t="s">
        <v>2226</v>
      </c>
      <c r="AC23" s="35" t="s">
        <v>2306</v>
      </c>
      <c r="AD23" s="36">
        <v>81</v>
      </c>
      <c r="AE23" s="36">
        <v>0</v>
      </c>
      <c r="AF23" s="36">
        <v>1</v>
      </c>
      <c r="AG23" s="36">
        <v>419</v>
      </c>
      <c r="AH23" s="36"/>
      <c r="AI23" s="273" t="s">
        <v>1835</v>
      </c>
      <c r="AJ23" s="273" t="s">
        <v>1835</v>
      </c>
      <c r="AK23" s="40" t="str">
        <f t="shared" si="0"/>
        <v>2023 год</v>
      </c>
      <c r="AL23" s="40" t="str">
        <f t="shared" si="1"/>
        <v>2023 год</v>
      </c>
      <c r="AM23" s="40">
        <v>1</v>
      </c>
    </row>
    <row r="24" spans="1:39" ht="31.5" x14ac:dyDescent="0.25">
      <c r="A24" s="24">
        <v>17</v>
      </c>
      <c r="B24" s="478" t="s">
        <v>2009</v>
      </c>
      <c r="C24" s="35">
        <v>45188</v>
      </c>
      <c r="D24" s="24" t="s">
        <v>760</v>
      </c>
      <c r="E24" s="24" t="s">
        <v>1456</v>
      </c>
      <c r="F24" s="145" t="s">
        <v>1950</v>
      </c>
      <c r="G24" s="24" t="s">
        <v>1457</v>
      </c>
      <c r="H24" s="145" t="s">
        <v>1651</v>
      </c>
      <c r="I24" s="98">
        <v>1802298543</v>
      </c>
      <c r="J24" s="240">
        <v>6888.13</v>
      </c>
      <c r="K24" s="240">
        <v>5523.29</v>
      </c>
      <c r="L24" s="240"/>
      <c r="M24" s="36">
        <v>261.65199999999999</v>
      </c>
      <c r="N24" s="36">
        <v>376.66699999999997</v>
      </c>
      <c r="O24" s="100">
        <v>45210</v>
      </c>
      <c r="P24" s="27">
        <v>63</v>
      </c>
      <c r="Q24" s="27"/>
      <c r="R24" s="24">
        <v>9</v>
      </c>
      <c r="S24" s="35">
        <v>45159</v>
      </c>
      <c r="T24" s="35">
        <v>45556</v>
      </c>
      <c r="U24" s="35">
        <v>45647</v>
      </c>
      <c r="V24" s="35"/>
      <c r="W24" s="24"/>
      <c r="X24" s="35">
        <v>45647</v>
      </c>
      <c r="Y24" s="98">
        <v>14849026</v>
      </c>
      <c r="Z24" s="35" t="s">
        <v>1596</v>
      </c>
      <c r="AA24" s="35"/>
      <c r="AB24" s="35" t="s">
        <v>2080</v>
      </c>
      <c r="AC24" s="35" t="s">
        <v>2305</v>
      </c>
      <c r="AD24" s="36">
        <v>66</v>
      </c>
      <c r="AE24" s="36">
        <v>0</v>
      </c>
      <c r="AF24" s="36">
        <v>1</v>
      </c>
      <c r="AG24" s="36">
        <v>426</v>
      </c>
      <c r="AH24" s="36"/>
      <c r="AI24" s="24" t="s">
        <v>760</v>
      </c>
      <c r="AJ24" s="24" t="s">
        <v>760</v>
      </c>
      <c r="AK24" s="40" t="str">
        <f t="shared" si="0"/>
        <v>2023 год</v>
      </c>
      <c r="AL24" s="40" t="str">
        <f t="shared" si="1"/>
        <v>2023 год</v>
      </c>
      <c r="AM24" s="40">
        <v>1</v>
      </c>
    </row>
    <row r="25" spans="1:39" s="282" customFormat="1" ht="47.25" x14ac:dyDescent="0.25">
      <c r="A25" s="273">
        <v>18</v>
      </c>
      <c r="B25" s="479" t="s">
        <v>1556</v>
      </c>
      <c r="C25" s="274">
        <v>45188</v>
      </c>
      <c r="D25" s="273" t="s">
        <v>1975</v>
      </c>
      <c r="E25" s="288" t="s">
        <v>758</v>
      </c>
      <c r="F25" s="289" t="s">
        <v>1645</v>
      </c>
      <c r="G25" s="288" t="s">
        <v>1412</v>
      </c>
      <c r="H25" s="290" t="s">
        <v>1646</v>
      </c>
      <c r="I25" s="284">
        <v>1635711572</v>
      </c>
      <c r="J25" s="291">
        <v>6384.3</v>
      </c>
      <c r="K25" s="291">
        <v>4479.5</v>
      </c>
      <c r="L25" s="291">
        <v>975.9</v>
      </c>
      <c r="M25" s="278">
        <v>256.20800000000003</v>
      </c>
      <c r="N25" s="278">
        <v>309.40899999999999</v>
      </c>
      <c r="O25" s="287">
        <v>45217</v>
      </c>
      <c r="P25" s="276">
        <v>110</v>
      </c>
      <c r="Q25" s="276"/>
      <c r="R25" s="273">
        <v>5</v>
      </c>
      <c r="S25" s="274">
        <v>45156</v>
      </c>
      <c r="T25" s="274">
        <v>45522</v>
      </c>
      <c r="U25" s="274">
        <v>45614</v>
      </c>
      <c r="V25" s="274"/>
      <c r="W25" s="273"/>
      <c r="X25" s="280" t="s">
        <v>2216</v>
      </c>
      <c r="Y25" s="276">
        <v>9595485</v>
      </c>
      <c r="Z25" s="274" t="s">
        <v>2311</v>
      </c>
      <c r="AA25" s="274"/>
      <c r="AB25" s="274" t="s">
        <v>2226</v>
      </c>
      <c r="AC25" s="274" t="s">
        <v>2306</v>
      </c>
      <c r="AD25" s="278">
        <v>81</v>
      </c>
      <c r="AE25" s="278">
        <v>1</v>
      </c>
      <c r="AF25" s="278">
        <v>1</v>
      </c>
      <c r="AG25" s="278">
        <v>422</v>
      </c>
      <c r="AH25" s="278"/>
      <c r="AI25" s="273" t="s">
        <v>1835</v>
      </c>
      <c r="AJ25" s="273" t="s">
        <v>1835</v>
      </c>
      <c r="AK25" s="40" t="str">
        <f t="shared" si="0"/>
        <v>2023 год</v>
      </c>
      <c r="AL25" s="40" t="str">
        <f t="shared" si="1"/>
        <v>2023 год</v>
      </c>
      <c r="AM25" s="40">
        <v>1</v>
      </c>
    </row>
    <row r="26" spans="1:39" s="213" customFormat="1" ht="31.5" x14ac:dyDescent="0.25">
      <c r="A26" s="507">
        <v>19</v>
      </c>
      <c r="B26" s="508" t="s">
        <v>1752</v>
      </c>
      <c r="C26" s="509">
        <v>45188</v>
      </c>
      <c r="D26" s="507" t="s">
        <v>1976</v>
      </c>
      <c r="E26" s="507" t="s">
        <v>1400</v>
      </c>
      <c r="F26" s="510">
        <v>140740007872</v>
      </c>
      <c r="G26" s="507" t="s">
        <v>1554</v>
      </c>
      <c r="H26" s="511" t="s">
        <v>1650</v>
      </c>
      <c r="I26" s="512">
        <v>1088278078</v>
      </c>
      <c r="J26" s="513">
        <v>5851.02</v>
      </c>
      <c r="K26" s="513">
        <v>3760.1</v>
      </c>
      <c r="L26" s="513"/>
      <c r="M26" s="514">
        <v>289.428</v>
      </c>
      <c r="N26" s="514">
        <v>314.459</v>
      </c>
      <c r="O26" s="515">
        <v>45217</v>
      </c>
      <c r="P26" s="507">
        <v>119</v>
      </c>
      <c r="Q26" s="507"/>
      <c r="R26" s="507">
        <v>12</v>
      </c>
      <c r="S26" s="509">
        <v>45131</v>
      </c>
      <c r="T26" s="509">
        <v>45436</v>
      </c>
      <c r="U26" s="516" t="s">
        <v>1785</v>
      </c>
      <c r="V26" s="509"/>
      <c r="W26" s="507"/>
      <c r="X26" s="516">
        <v>45492</v>
      </c>
      <c r="Y26" s="512">
        <v>9145815</v>
      </c>
      <c r="Z26" s="509" t="s">
        <v>1607</v>
      </c>
      <c r="AA26" s="509"/>
      <c r="AB26" s="517" t="s">
        <v>2226</v>
      </c>
      <c r="AC26" s="517" t="s">
        <v>2306</v>
      </c>
      <c r="AD26" s="514">
        <v>77</v>
      </c>
      <c r="AE26" s="514">
        <v>0</v>
      </c>
      <c r="AF26" s="514">
        <v>1</v>
      </c>
      <c r="AG26" s="514">
        <v>421</v>
      </c>
      <c r="AH26" s="514"/>
      <c r="AI26" s="273" t="s">
        <v>1835</v>
      </c>
      <c r="AJ26" s="273" t="s">
        <v>1835</v>
      </c>
      <c r="AK26" s="40" t="str">
        <f t="shared" si="0"/>
        <v>2023 год</v>
      </c>
      <c r="AL26" s="40" t="str">
        <f t="shared" si="1"/>
        <v>2023 год</v>
      </c>
      <c r="AM26" s="40">
        <v>1</v>
      </c>
    </row>
    <row r="27" spans="1:39" x14ac:dyDescent="0.25">
      <c r="A27" s="24">
        <v>20</v>
      </c>
      <c r="B27" s="478" t="s">
        <v>1593</v>
      </c>
      <c r="C27" s="35">
        <v>45237</v>
      </c>
      <c r="D27" s="24" t="s">
        <v>1179</v>
      </c>
      <c r="E27" s="24" t="s">
        <v>974</v>
      </c>
      <c r="F27" s="145" t="s">
        <v>1654</v>
      </c>
      <c r="G27" s="145" t="s">
        <v>1587</v>
      </c>
      <c r="H27" s="145" t="s">
        <v>1777</v>
      </c>
      <c r="I27" s="98">
        <v>9176506252</v>
      </c>
      <c r="J27" s="240">
        <v>28301.1</v>
      </c>
      <c r="K27" s="240">
        <v>18053.2</v>
      </c>
      <c r="L27" s="240">
        <v>1895.59</v>
      </c>
      <c r="M27" s="36">
        <v>324.245</v>
      </c>
      <c r="N27" s="36">
        <v>460.00315000000001</v>
      </c>
      <c r="O27" s="100">
        <v>45251</v>
      </c>
      <c r="P27" s="24">
        <v>264</v>
      </c>
      <c r="Q27" s="24"/>
      <c r="R27" s="24" t="s">
        <v>2001</v>
      </c>
      <c r="S27" s="35">
        <v>45191</v>
      </c>
      <c r="T27" s="35">
        <v>45465</v>
      </c>
      <c r="U27" s="35">
        <v>45557</v>
      </c>
      <c r="V27" s="35">
        <v>45648</v>
      </c>
      <c r="W27" s="24"/>
      <c r="X27" s="35">
        <v>45648</v>
      </c>
      <c r="Y27" s="98">
        <v>77965811.790000007</v>
      </c>
      <c r="Z27" s="35" t="s">
        <v>1659</v>
      </c>
      <c r="AA27" s="35"/>
      <c r="AB27" s="35" t="s">
        <v>2080</v>
      </c>
      <c r="AC27" s="35" t="s">
        <v>2305</v>
      </c>
      <c r="AD27" s="36">
        <v>78</v>
      </c>
      <c r="AE27" s="36">
        <v>1</v>
      </c>
      <c r="AF27" s="36">
        <v>1</v>
      </c>
      <c r="AG27" s="36">
        <v>445</v>
      </c>
      <c r="AH27" s="36" t="s">
        <v>1731</v>
      </c>
      <c r="AI27" s="24" t="s">
        <v>1179</v>
      </c>
      <c r="AJ27" s="24" t="s">
        <v>1179</v>
      </c>
      <c r="AK27" s="40" t="str">
        <f t="shared" si="0"/>
        <v>2023 год</v>
      </c>
      <c r="AL27" s="40" t="str">
        <f t="shared" si="1"/>
        <v>2023 год</v>
      </c>
      <c r="AM27" s="40">
        <v>1</v>
      </c>
    </row>
    <row r="28" spans="1:39" ht="31.5" x14ac:dyDescent="0.25">
      <c r="A28" s="273">
        <v>21</v>
      </c>
      <c r="B28" s="479" t="s">
        <v>1774</v>
      </c>
      <c r="C28" s="274">
        <v>45267</v>
      </c>
      <c r="D28" s="273" t="s">
        <v>174</v>
      </c>
      <c r="E28" s="273" t="s">
        <v>699</v>
      </c>
      <c r="F28" s="275" t="s">
        <v>1626</v>
      </c>
      <c r="G28" s="275" t="s">
        <v>1592</v>
      </c>
      <c r="H28" s="275" t="s">
        <v>1663</v>
      </c>
      <c r="I28" s="276">
        <v>6804685307</v>
      </c>
      <c r="J28" s="277">
        <v>17783.169999999998</v>
      </c>
      <c r="K28" s="277">
        <v>10454</v>
      </c>
      <c r="L28" s="277">
        <v>1386.47</v>
      </c>
      <c r="M28" s="278">
        <v>382.64699999999999</v>
      </c>
      <c r="N28" s="278">
        <v>440</v>
      </c>
      <c r="O28" s="287">
        <v>45288</v>
      </c>
      <c r="P28" s="273">
        <v>192</v>
      </c>
      <c r="Q28" s="273"/>
      <c r="R28" s="273">
        <v>9</v>
      </c>
      <c r="S28" s="274">
        <v>45198</v>
      </c>
      <c r="T28" s="274">
        <v>45533</v>
      </c>
      <c r="U28" s="276"/>
      <c r="V28" s="274"/>
      <c r="W28" s="273"/>
      <c r="X28" s="280" t="s">
        <v>2062</v>
      </c>
      <c r="Y28" s="276">
        <v>61009602.270000003</v>
      </c>
      <c r="Z28" s="274" t="s">
        <v>1671</v>
      </c>
      <c r="AA28" s="274"/>
      <c r="AB28" s="286" t="s">
        <v>2079</v>
      </c>
      <c r="AC28" s="286" t="s">
        <v>2307</v>
      </c>
      <c r="AD28" s="278">
        <v>73</v>
      </c>
      <c r="AE28" s="278">
        <v>0</v>
      </c>
      <c r="AF28" s="278">
        <v>1</v>
      </c>
      <c r="AG28" s="278">
        <v>455</v>
      </c>
      <c r="AH28" s="278" t="s">
        <v>1731</v>
      </c>
      <c r="AI28" s="273" t="s">
        <v>174</v>
      </c>
      <c r="AJ28" s="273" t="s">
        <v>174</v>
      </c>
      <c r="AK28" s="40" t="str">
        <f t="shared" si="0"/>
        <v>2023 год</v>
      </c>
      <c r="AL28" s="40" t="str">
        <f t="shared" si="1"/>
        <v>2023 год</v>
      </c>
      <c r="AM28" s="40">
        <v>1</v>
      </c>
    </row>
    <row r="29" spans="1:39" x14ac:dyDescent="0.25">
      <c r="A29" s="24">
        <v>22</v>
      </c>
      <c r="B29" s="478" t="s">
        <v>1609</v>
      </c>
      <c r="C29" s="35">
        <v>45272</v>
      </c>
      <c r="D29" s="24" t="s">
        <v>1179</v>
      </c>
      <c r="E29" s="24" t="s">
        <v>974</v>
      </c>
      <c r="F29" s="145" t="s">
        <v>1654</v>
      </c>
      <c r="G29" s="145" t="s">
        <v>1608</v>
      </c>
      <c r="H29" s="145" t="s">
        <v>1664</v>
      </c>
      <c r="I29" s="98">
        <v>15986084547.473101</v>
      </c>
      <c r="J29" s="240">
        <v>110897.01</v>
      </c>
      <c r="K29" s="240">
        <v>48140.85</v>
      </c>
      <c r="L29" s="240">
        <v>2545.6</v>
      </c>
      <c r="M29" s="36">
        <v>144.15299999999999</v>
      </c>
      <c r="N29" s="36">
        <v>374.57</v>
      </c>
      <c r="O29" s="100">
        <v>45288</v>
      </c>
      <c r="P29" s="24">
        <v>793</v>
      </c>
      <c r="Q29" s="24"/>
      <c r="R29" s="24" t="s">
        <v>1662</v>
      </c>
      <c r="S29" s="35">
        <v>45191</v>
      </c>
      <c r="T29" s="35">
        <v>45891</v>
      </c>
      <c r="U29" s="98"/>
      <c r="V29" s="35"/>
      <c r="W29" s="24"/>
      <c r="X29" s="35">
        <v>45891</v>
      </c>
      <c r="Y29" s="98">
        <v>155781591.36000001</v>
      </c>
      <c r="Z29" s="35" t="s">
        <v>1672</v>
      </c>
      <c r="AA29" s="35"/>
      <c r="AB29" s="35" t="s">
        <v>2080</v>
      </c>
      <c r="AC29" s="35" t="s">
        <v>2305</v>
      </c>
      <c r="AD29" s="36">
        <v>83</v>
      </c>
      <c r="AE29" s="36">
        <v>0</v>
      </c>
      <c r="AF29" s="36">
        <v>1</v>
      </c>
      <c r="AG29" s="36">
        <v>450</v>
      </c>
      <c r="AH29" s="36" t="s">
        <v>1731</v>
      </c>
      <c r="AI29" s="24" t="s">
        <v>1179</v>
      </c>
      <c r="AJ29" s="24" t="s">
        <v>1179</v>
      </c>
      <c r="AK29" s="40" t="str">
        <f t="shared" si="0"/>
        <v>2023 год</v>
      </c>
      <c r="AL29" s="40" t="str">
        <f t="shared" si="1"/>
        <v>2023 год</v>
      </c>
      <c r="AM29" s="40">
        <v>1</v>
      </c>
    </row>
    <row r="30" spans="1:39" x14ac:dyDescent="0.25">
      <c r="A30" s="24">
        <v>23</v>
      </c>
      <c r="B30" s="478" t="s">
        <v>1681</v>
      </c>
      <c r="C30" s="35">
        <v>45281</v>
      </c>
      <c r="D30" s="24" t="s">
        <v>1179</v>
      </c>
      <c r="E30" s="24" t="s">
        <v>716</v>
      </c>
      <c r="F30" s="143">
        <v>960340000376</v>
      </c>
      <c r="G30" s="145" t="s">
        <v>1588</v>
      </c>
      <c r="H30" s="145" t="s">
        <v>1670</v>
      </c>
      <c r="I30" s="98">
        <v>10030993319</v>
      </c>
      <c r="J30" s="240">
        <v>54345.599999999999</v>
      </c>
      <c r="K30" s="240">
        <v>32867.74</v>
      </c>
      <c r="L30" s="240">
        <v>3319.17</v>
      </c>
      <c r="M30" s="36">
        <v>277.19900000000001</v>
      </c>
      <c r="N30" s="36">
        <v>350</v>
      </c>
      <c r="O30" s="100">
        <v>45308</v>
      </c>
      <c r="P30" s="36">
        <v>423</v>
      </c>
      <c r="Q30" s="36"/>
      <c r="R30" s="24" t="s">
        <v>1668</v>
      </c>
      <c r="S30" s="35">
        <v>45127</v>
      </c>
      <c r="T30" s="35">
        <v>45858</v>
      </c>
      <c r="U30" s="98"/>
      <c r="V30" s="35"/>
      <c r="W30" s="24"/>
      <c r="X30" s="35">
        <v>45858</v>
      </c>
      <c r="Y30" s="98">
        <v>99060352.430000007</v>
      </c>
      <c r="Z30" s="35" t="s">
        <v>1680</v>
      </c>
      <c r="AA30" s="35"/>
      <c r="AB30" s="35" t="s">
        <v>2080</v>
      </c>
      <c r="AC30" s="35" t="s">
        <v>2305</v>
      </c>
      <c r="AD30" s="36">
        <v>91</v>
      </c>
      <c r="AE30" s="36">
        <v>0</v>
      </c>
      <c r="AF30" s="36">
        <v>2</v>
      </c>
      <c r="AG30" s="36">
        <v>444</v>
      </c>
      <c r="AH30" s="36"/>
      <c r="AI30" s="24" t="s">
        <v>1179</v>
      </c>
      <c r="AJ30" s="24" t="s">
        <v>1179</v>
      </c>
      <c r="AK30" s="40" t="str">
        <f t="shared" si="0"/>
        <v>2024 год</v>
      </c>
      <c r="AL30" s="40" t="str">
        <f t="shared" si="1"/>
        <v>2024 год</v>
      </c>
      <c r="AM30" s="40">
        <v>1</v>
      </c>
    </row>
    <row r="31" spans="1:39" x14ac:dyDescent="0.25">
      <c r="A31" s="24">
        <v>24</v>
      </c>
      <c r="B31" s="478" t="s">
        <v>1682</v>
      </c>
      <c r="C31" s="35">
        <v>45274</v>
      </c>
      <c r="D31" s="24" t="s">
        <v>1179</v>
      </c>
      <c r="E31" s="24" t="s">
        <v>716</v>
      </c>
      <c r="F31" s="143">
        <v>960340000376</v>
      </c>
      <c r="G31" s="145" t="s">
        <v>1582</v>
      </c>
      <c r="H31" s="145" t="s">
        <v>1669</v>
      </c>
      <c r="I31" s="98">
        <v>1544370732</v>
      </c>
      <c r="J31" s="240">
        <v>7198.2</v>
      </c>
      <c r="K31" s="240">
        <v>4879.2</v>
      </c>
      <c r="L31" s="240">
        <v>716.4</v>
      </c>
      <c r="M31" s="36">
        <v>214.55</v>
      </c>
      <c r="N31" s="36">
        <v>350</v>
      </c>
      <c r="O31" s="100">
        <v>45309</v>
      </c>
      <c r="P31" s="36">
        <v>54</v>
      </c>
      <c r="Q31" s="36"/>
      <c r="R31" s="24">
        <v>8</v>
      </c>
      <c r="S31" s="35">
        <v>45175</v>
      </c>
      <c r="T31" s="522">
        <v>45541</v>
      </c>
      <c r="U31" s="522">
        <v>45632</v>
      </c>
      <c r="V31" s="35"/>
      <c r="W31" s="24"/>
      <c r="X31" s="35">
        <v>45632</v>
      </c>
      <c r="Y31" s="98">
        <v>14909071</v>
      </c>
      <c r="Z31" s="35" t="s">
        <v>1688</v>
      </c>
      <c r="AA31" s="35"/>
      <c r="AB31" s="35" t="s">
        <v>2080</v>
      </c>
      <c r="AC31" s="35" t="s">
        <v>2305</v>
      </c>
      <c r="AD31" s="36">
        <v>91</v>
      </c>
      <c r="AE31" s="36">
        <v>0</v>
      </c>
      <c r="AF31" s="36">
        <v>2</v>
      </c>
      <c r="AG31" s="36">
        <v>442</v>
      </c>
      <c r="AH31" s="36"/>
      <c r="AI31" s="24" t="s">
        <v>1179</v>
      </c>
      <c r="AJ31" s="24" t="s">
        <v>1179</v>
      </c>
      <c r="AK31" s="40" t="str">
        <f t="shared" si="0"/>
        <v>2024 год</v>
      </c>
      <c r="AL31" s="40" t="str">
        <f t="shared" si="1"/>
        <v>2024 год</v>
      </c>
      <c r="AM31" s="40">
        <v>1</v>
      </c>
    </row>
    <row r="32" spans="1:39" s="162" customFormat="1" x14ac:dyDescent="0.25">
      <c r="A32" s="520">
        <v>25</v>
      </c>
      <c r="B32" s="521" t="s">
        <v>1683</v>
      </c>
      <c r="C32" s="522">
        <v>45274</v>
      </c>
      <c r="D32" s="520" t="s">
        <v>1179</v>
      </c>
      <c r="E32" s="520" t="s">
        <v>716</v>
      </c>
      <c r="F32" s="523">
        <v>960340000376</v>
      </c>
      <c r="G32" s="524" t="s">
        <v>1582</v>
      </c>
      <c r="H32" s="524" t="s">
        <v>1669</v>
      </c>
      <c r="I32" s="525">
        <v>1372954735</v>
      </c>
      <c r="J32" s="526">
        <v>6094.3</v>
      </c>
      <c r="K32" s="526">
        <v>4080.6</v>
      </c>
      <c r="L32" s="526">
        <v>381.6</v>
      </c>
      <c r="M32" s="527">
        <v>225.285</v>
      </c>
      <c r="N32" s="527">
        <v>360</v>
      </c>
      <c r="O32" s="528">
        <v>45309</v>
      </c>
      <c r="P32" s="527">
        <v>40</v>
      </c>
      <c r="Q32" s="527"/>
      <c r="R32" s="520">
        <v>8</v>
      </c>
      <c r="S32" s="522">
        <v>45175</v>
      </c>
      <c r="T32" s="522">
        <v>45541</v>
      </c>
      <c r="U32" s="522">
        <v>45632</v>
      </c>
      <c r="V32" s="522"/>
      <c r="W32" s="520"/>
      <c r="X32" s="522">
        <v>45632</v>
      </c>
      <c r="Y32" s="525">
        <v>13001244</v>
      </c>
      <c r="Z32" s="522" t="s">
        <v>1688</v>
      </c>
      <c r="AA32" s="522"/>
      <c r="AB32" s="522" t="s">
        <v>2080</v>
      </c>
      <c r="AC32" s="522" t="s">
        <v>2305</v>
      </c>
      <c r="AD32" s="527">
        <v>91</v>
      </c>
      <c r="AE32" s="527">
        <v>0</v>
      </c>
      <c r="AF32" s="527">
        <v>2</v>
      </c>
      <c r="AG32" s="527">
        <v>443</v>
      </c>
      <c r="AH32" s="527"/>
      <c r="AI32" s="156" t="s">
        <v>1179</v>
      </c>
      <c r="AJ32" s="156" t="s">
        <v>1179</v>
      </c>
      <c r="AK32" s="40" t="str">
        <f t="shared" si="0"/>
        <v>2024 год</v>
      </c>
      <c r="AL32" s="40" t="str">
        <f t="shared" si="1"/>
        <v>2024 год</v>
      </c>
      <c r="AM32" s="40">
        <v>1</v>
      </c>
    </row>
    <row r="33" spans="1:39" ht="47.25" x14ac:dyDescent="0.25">
      <c r="A33" s="24">
        <v>26</v>
      </c>
      <c r="B33" s="478" t="s">
        <v>1658</v>
      </c>
      <c r="C33" s="35">
        <v>45300</v>
      </c>
      <c r="D33" s="24" t="s">
        <v>174</v>
      </c>
      <c r="E33" s="24" t="s">
        <v>693</v>
      </c>
      <c r="F33" s="145" t="s">
        <v>1643</v>
      </c>
      <c r="G33" s="24" t="s">
        <v>694</v>
      </c>
      <c r="H33" s="145" t="s">
        <v>1676</v>
      </c>
      <c r="I33" s="98">
        <v>8967320951</v>
      </c>
      <c r="J33" s="240">
        <v>23220.52</v>
      </c>
      <c r="K33" s="240">
        <v>18073.93</v>
      </c>
      <c r="L33" s="240">
        <v>917.85</v>
      </c>
      <c r="M33" s="36">
        <v>386.18099999999998</v>
      </c>
      <c r="N33" s="36">
        <v>450.9</v>
      </c>
      <c r="O33" s="100">
        <v>45324</v>
      </c>
      <c r="P33" s="36">
        <v>271</v>
      </c>
      <c r="Q33" s="36"/>
      <c r="R33" s="24">
        <v>9</v>
      </c>
      <c r="S33" s="35">
        <v>45219</v>
      </c>
      <c r="T33" s="35">
        <v>45646</v>
      </c>
      <c r="U33" s="147"/>
      <c r="V33" s="147"/>
      <c r="W33" s="147"/>
      <c r="X33" s="35">
        <v>45646</v>
      </c>
      <c r="Y33" s="98">
        <v>71541895</v>
      </c>
      <c r="Z33" s="35" t="s">
        <v>1691</v>
      </c>
      <c r="AA33" s="147"/>
      <c r="AB33" s="99" t="s">
        <v>2079</v>
      </c>
      <c r="AC33" s="99" t="s">
        <v>2307</v>
      </c>
      <c r="AD33" s="36">
        <v>71</v>
      </c>
      <c r="AE33" s="36">
        <v>0</v>
      </c>
      <c r="AF33" s="36">
        <v>1</v>
      </c>
      <c r="AG33" s="36">
        <v>459</v>
      </c>
      <c r="AH33" s="36"/>
      <c r="AI33" s="24" t="s">
        <v>174</v>
      </c>
      <c r="AJ33" s="24" t="s">
        <v>174</v>
      </c>
      <c r="AK33" s="40" t="str">
        <f t="shared" si="0"/>
        <v>2024 год</v>
      </c>
      <c r="AL33" s="40" t="str">
        <f t="shared" si="1"/>
        <v>2024 год</v>
      </c>
      <c r="AM33" s="40">
        <v>1</v>
      </c>
    </row>
    <row r="34" spans="1:39" x14ac:dyDescent="0.25">
      <c r="A34" s="24">
        <v>27</v>
      </c>
      <c r="B34" s="478" t="s">
        <v>1655</v>
      </c>
      <c r="C34" s="35">
        <v>45317</v>
      </c>
      <c r="D34" s="24" t="s">
        <v>175</v>
      </c>
      <c r="E34" s="24" t="s">
        <v>977</v>
      </c>
      <c r="F34" s="145" t="s">
        <v>1686</v>
      </c>
      <c r="G34" s="24" t="s">
        <v>1656</v>
      </c>
      <c r="H34" s="145" t="s">
        <v>1687</v>
      </c>
      <c r="I34" s="98">
        <v>1886723001</v>
      </c>
      <c r="J34" s="240">
        <v>10334</v>
      </c>
      <c r="K34" s="240">
        <v>7497</v>
      </c>
      <c r="L34" s="240"/>
      <c r="M34" s="36">
        <v>182.57400000000001</v>
      </c>
      <c r="N34" s="36">
        <v>280</v>
      </c>
      <c r="O34" s="100">
        <v>45348</v>
      </c>
      <c r="P34" s="36">
        <v>150</v>
      </c>
      <c r="Q34" s="36"/>
      <c r="R34" s="24">
        <v>5</v>
      </c>
      <c r="S34" s="35">
        <v>45352</v>
      </c>
      <c r="T34" s="35">
        <v>45566</v>
      </c>
      <c r="U34" s="147"/>
      <c r="V34" s="147"/>
      <c r="W34" s="147"/>
      <c r="X34" s="35">
        <v>45566</v>
      </c>
      <c r="Y34" s="98">
        <v>18867230</v>
      </c>
      <c r="Z34" s="35" t="s">
        <v>1762</v>
      </c>
      <c r="AA34" s="147"/>
      <c r="AB34" s="30" t="s">
        <v>2215</v>
      </c>
      <c r="AC34" s="30" t="s">
        <v>1988</v>
      </c>
      <c r="AD34" s="36">
        <v>73</v>
      </c>
      <c r="AE34" s="36">
        <v>0</v>
      </c>
      <c r="AF34" s="36">
        <v>3</v>
      </c>
      <c r="AG34" s="36">
        <v>456</v>
      </c>
      <c r="AH34" s="36"/>
      <c r="AI34" s="24" t="s">
        <v>175</v>
      </c>
      <c r="AJ34" s="24" t="s">
        <v>175</v>
      </c>
      <c r="AK34" s="40" t="str">
        <f t="shared" si="0"/>
        <v>2024 год</v>
      </c>
      <c r="AL34" s="40" t="str">
        <f t="shared" si="1"/>
        <v>2024 год</v>
      </c>
      <c r="AM34" s="40">
        <v>1</v>
      </c>
    </row>
    <row r="35" spans="1:39" x14ac:dyDescent="0.25">
      <c r="A35" s="24">
        <v>28</v>
      </c>
      <c r="B35" s="478" t="s">
        <v>1980</v>
      </c>
      <c r="C35" s="35">
        <v>45337</v>
      </c>
      <c r="D35" s="24" t="s">
        <v>176</v>
      </c>
      <c r="E35" s="24" t="s">
        <v>1733</v>
      </c>
      <c r="F35" s="145" t="s">
        <v>1714</v>
      </c>
      <c r="G35" s="24" t="s">
        <v>1675</v>
      </c>
      <c r="H35" s="145" t="s">
        <v>1715</v>
      </c>
      <c r="I35" s="98">
        <v>3595425509</v>
      </c>
      <c r="J35" s="240">
        <v>25056.9</v>
      </c>
      <c r="K35" s="240">
        <v>18161.2</v>
      </c>
      <c r="L35" s="240">
        <v>2335.1999999999998</v>
      </c>
      <c r="M35" s="36">
        <v>143</v>
      </c>
      <c r="N35" s="36">
        <v>312</v>
      </c>
      <c r="O35" s="100">
        <v>45365</v>
      </c>
      <c r="P35" s="36">
        <v>240</v>
      </c>
      <c r="Q35" s="36"/>
      <c r="R35" s="24">
        <v>9</v>
      </c>
      <c r="S35" s="35">
        <v>45243</v>
      </c>
      <c r="T35" s="35">
        <v>45670</v>
      </c>
      <c r="U35" s="147"/>
      <c r="V35" s="147"/>
      <c r="W35" s="147"/>
      <c r="X35" s="35">
        <v>45670</v>
      </c>
      <c r="Y35" s="98">
        <v>32350689</v>
      </c>
      <c r="Z35" s="35" t="s">
        <v>1736</v>
      </c>
      <c r="AA35" s="147"/>
      <c r="AB35" s="30" t="s">
        <v>2215</v>
      </c>
      <c r="AC35" s="30" t="s">
        <v>1988</v>
      </c>
      <c r="AD35" s="36">
        <v>68</v>
      </c>
      <c r="AE35" s="36">
        <v>0</v>
      </c>
      <c r="AF35" s="36">
        <v>1</v>
      </c>
      <c r="AG35" s="36">
        <v>469</v>
      </c>
      <c r="AH35" s="36"/>
      <c r="AI35" s="24" t="s">
        <v>176</v>
      </c>
      <c r="AJ35" s="24" t="s">
        <v>176</v>
      </c>
      <c r="AK35" s="40" t="str">
        <f t="shared" si="0"/>
        <v>2024 год</v>
      </c>
      <c r="AL35" s="40" t="str">
        <f t="shared" si="1"/>
        <v>2024 год</v>
      </c>
      <c r="AM35" s="40">
        <v>1</v>
      </c>
    </row>
    <row r="36" spans="1:39" ht="47.25" x14ac:dyDescent="0.25">
      <c r="A36" s="24">
        <v>29</v>
      </c>
      <c r="B36" s="478" t="s">
        <v>1717</v>
      </c>
      <c r="C36" s="35">
        <v>45337</v>
      </c>
      <c r="D36" s="24" t="s">
        <v>1179</v>
      </c>
      <c r="E36" s="27" t="s">
        <v>712</v>
      </c>
      <c r="F36" s="145" t="s">
        <v>1640</v>
      </c>
      <c r="G36" s="27" t="s">
        <v>787</v>
      </c>
      <c r="H36" s="145" t="s">
        <v>1716</v>
      </c>
      <c r="I36" s="98">
        <v>7672975159</v>
      </c>
      <c r="J36" s="240">
        <v>19294.2</v>
      </c>
      <c r="K36" s="240">
        <v>13480</v>
      </c>
      <c r="L36" s="240">
        <v>1150.8</v>
      </c>
      <c r="M36" s="36">
        <v>397.68200000000002</v>
      </c>
      <c r="N36" s="36">
        <v>488.649</v>
      </c>
      <c r="O36" s="100">
        <v>45371</v>
      </c>
      <c r="P36" s="36">
        <v>296</v>
      </c>
      <c r="Q36" s="36"/>
      <c r="R36" s="24" t="s">
        <v>1718</v>
      </c>
      <c r="S36" s="35">
        <v>45327</v>
      </c>
      <c r="T36" s="35">
        <v>45677</v>
      </c>
      <c r="U36" s="147"/>
      <c r="V36" s="147"/>
      <c r="W36" s="147"/>
      <c r="X36" s="35">
        <v>45677</v>
      </c>
      <c r="Y36" s="98">
        <v>64691452</v>
      </c>
      <c r="Z36" s="35" t="s">
        <v>2315</v>
      </c>
      <c r="AA36" s="147"/>
      <c r="AB36" s="35" t="s">
        <v>2080</v>
      </c>
      <c r="AC36" s="35" t="s">
        <v>2305</v>
      </c>
      <c r="AD36" s="36">
        <v>65</v>
      </c>
      <c r="AE36" s="36">
        <v>0</v>
      </c>
      <c r="AF36" s="36">
        <v>1</v>
      </c>
      <c r="AG36" s="36">
        <v>473</v>
      </c>
      <c r="AH36" s="36"/>
      <c r="AI36" s="24" t="s">
        <v>1179</v>
      </c>
      <c r="AJ36" s="24" t="s">
        <v>1179</v>
      </c>
      <c r="AK36" s="40" t="str">
        <f t="shared" si="0"/>
        <v>2024 год</v>
      </c>
      <c r="AL36" s="40" t="str">
        <f t="shared" si="1"/>
        <v>2024 год</v>
      </c>
      <c r="AM36" s="40">
        <v>1</v>
      </c>
    </row>
    <row r="37" spans="1:39" x14ac:dyDescent="0.25">
      <c r="A37" s="24">
        <v>30</v>
      </c>
      <c r="B37" s="478" t="s">
        <v>1713</v>
      </c>
      <c r="C37" s="35">
        <v>45357</v>
      </c>
      <c r="D37" s="24" t="s">
        <v>174</v>
      </c>
      <c r="E37" s="27" t="s">
        <v>702</v>
      </c>
      <c r="F37" s="145" t="s">
        <v>1639</v>
      </c>
      <c r="G37" s="27" t="s">
        <v>1666</v>
      </c>
      <c r="H37" s="145" t="s">
        <v>1732</v>
      </c>
      <c r="I37" s="98">
        <v>1613184111</v>
      </c>
      <c r="J37" s="240">
        <v>5712</v>
      </c>
      <c r="K37" s="240">
        <v>4190.55</v>
      </c>
      <c r="L37" s="240"/>
      <c r="M37" s="36">
        <v>282</v>
      </c>
      <c r="N37" s="36">
        <v>433.8</v>
      </c>
      <c r="O37" s="100">
        <v>45380</v>
      </c>
      <c r="P37" s="36">
        <v>45</v>
      </c>
      <c r="Q37" s="36"/>
      <c r="R37" s="24">
        <v>5</v>
      </c>
      <c r="S37" s="35">
        <v>45316</v>
      </c>
      <c r="T37" s="35">
        <v>45621</v>
      </c>
      <c r="U37" s="147"/>
      <c r="V37" s="147"/>
      <c r="W37" s="147"/>
      <c r="X37" s="35">
        <v>45621</v>
      </c>
      <c r="Y37" s="98">
        <v>14439086</v>
      </c>
      <c r="Z37" s="35" t="s">
        <v>1740</v>
      </c>
      <c r="AA37" s="147"/>
      <c r="AB37" s="99" t="s">
        <v>2079</v>
      </c>
      <c r="AC37" s="99" t="s">
        <v>2307</v>
      </c>
      <c r="AD37" s="36">
        <v>82</v>
      </c>
      <c r="AE37" s="36">
        <v>0</v>
      </c>
      <c r="AF37" s="36">
        <v>1</v>
      </c>
      <c r="AG37" s="36">
        <v>478</v>
      </c>
      <c r="AH37" s="36"/>
      <c r="AI37" s="24" t="s">
        <v>174</v>
      </c>
      <c r="AJ37" s="24" t="s">
        <v>174</v>
      </c>
      <c r="AK37" s="40" t="str">
        <f t="shared" si="0"/>
        <v>2024 год</v>
      </c>
      <c r="AL37" s="40" t="str">
        <f t="shared" si="1"/>
        <v>2024 год</v>
      </c>
      <c r="AM37" s="40">
        <v>1</v>
      </c>
    </row>
    <row r="38" spans="1:39" ht="47.25" x14ac:dyDescent="0.25">
      <c r="A38" s="24">
        <v>31</v>
      </c>
      <c r="B38" s="478" t="s">
        <v>1447</v>
      </c>
      <c r="C38" s="35">
        <v>45366</v>
      </c>
      <c r="D38" s="24" t="s">
        <v>1179</v>
      </c>
      <c r="E38" s="13" t="s">
        <v>716</v>
      </c>
      <c r="F38" s="143">
        <v>960340000376</v>
      </c>
      <c r="G38" s="13" t="s">
        <v>783</v>
      </c>
      <c r="H38" s="143">
        <v>190240034484</v>
      </c>
      <c r="I38" s="98">
        <v>2815219201</v>
      </c>
      <c r="J38" s="240">
        <v>13082.17</v>
      </c>
      <c r="K38" s="240">
        <v>7430.63</v>
      </c>
      <c r="L38" s="240">
        <v>446.34</v>
      </c>
      <c r="M38" s="36">
        <v>301</v>
      </c>
      <c r="N38" s="36">
        <v>440</v>
      </c>
      <c r="O38" s="100">
        <v>45393</v>
      </c>
      <c r="P38" s="36">
        <v>75</v>
      </c>
      <c r="Q38" s="36"/>
      <c r="R38" s="24">
        <v>16.100000000000001</v>
      </c>
      <c r="S38" s="35">
        <v>45174</v>
      </c>
      <c r="T38" s="35">
        <v>45693</v>
      </c>
      <c r="U38" s="147"/>
      <c r="V38" s="147"/>
      <c r="W38" s="147"/>
      <c r="X38" s="35">
        <v>45693</v>
      </c>
      <c r="Y38" s="98">
        <v>23678424</v>
      </c>
      <c r="Z38" s="35" t="s">
        <v>2312</v>
      </c>
      <c r="AA38" s="147"/>
      <c r="AB38" s="35" t="s">
        <v>2080</v>
      </c>
      <c r="AC38" s="35" t="s">
        <v>2305</v>
      </c>
      <c r="AD38" s="36">
        <v>92</v>
      </c>
      <c r="AE38" s="36">
        <v>0</v>
      </c>
      <c r="AF38" s="36">
        <v>1</v>
      </c>
      <c r="AG38" s="36">
        <v>481</v>
      </c>
      <c r="AH38" s="36"/>
      <c r="AI38" s="24" t="s">
        <v>1179</v>
      </c>
      <c r="AJ38" s="24" t="s">
        <v>1179</v>
      </c>
      <c r="AK38" s="40" t="str">
        <f t="shared" si="0"/>
        <v>2024 год</v>
      </c>
      <c r="AL38" s="40" t="str">
        <f t="shared" si="1"/>
        <v>2024 год</v>
      </c>
      <c r="AM38" s="40">
        <v>1</v>
      </c>
    </row>
    <row r="39" spans="1:39" x14ac:dyDescent="0.25">
      <c r="A39" s="24">
        <v>32</v>
      </c>
      <c r="B39" s="478" t="s">
        <v>2010</v>
      </c>
      <c r="C39" s="35">
        <v>45370</v>
      </c>
      <c r="D39" s="24" t="s">
        <v>1179</v>
      </c>
      <c r="E39" s="24" t="s">
        <v>1725</v>
      </c>
      <c r="F39" s="143">
        <v>131240018048</v>
      </c>
      <c r="G39" s="24" t="s">
        <v>1726</v>
      </c>
      <c r="H39" s="143">
        <v>170940003812</v>
      </c>
      <c r="I39" s="98">
        <v>13763471058</v>
      </c>
      <c r="J39" s="240">
        <v>66064.539999999994</v>
      </c>
      <c r="K39" s="240">
        <v>42367.37</v>
      </c>
      <c r="L39" s="240">
        <v>3742.01</v>
      </c>
      <c r="M39" s="36">
        <v>208.334</v>
      </c>
      <c r="N39" s="36">
        <v>359</v>
      </c>
      <c r="O39" s="100">
        <v>45379</v>
      </c>
      <c r="P39" s="98">
        <v>674</v>
      </c>
      <c r="Q39" s="98"/>
      <c r="R39" s="24" t="s">
        <v>1738</v>
      </c>
      <c r="S39" s="35">
        <v>45351</v>
      </c>
      <c r="T39" s="35">
        <v>45716</v>
      </c>
      <c r="U39" s="147"/>
      <c r="V39" s="147"/>
      <c r="W39" s="147"/>
      <c r="X39" s="35">
        <v>45716</v>
      </c>
      <c r="Y39" s="98">
        <v>117673184</v>
      </c>
      <c r="Z39" s="35" t="s">
        <v>1739</v>
      </c>
      <c r="AA39" s="147"/>
      <c r="AB39" s="35" t="s">
        <v>2080</v>
      </c>
      <c r="AC39" s="35" t="s">
        <v>2305</v>
      </c>
      <c r="AD39" s="36">
        <v>85</v>
      </c>
      <c r="AE39" s="36">
        <v>0</v>
      </c>
      <c r="AF39" s="36">
        <v>1</v>
      </c>
      <c r="AG39" s="36">
        <v>484</v>
      </c>
      <c r="AH39" s="36"/>
      <c r="AI39" s="24" t="s">
        <v>1179</v>
      </c>
      <c r="AJ39" s="24" t="s">
        <v>1179</v>
      </c>
      <c r="AK39" s="40" t="str">
        <f t="shared" si="0"/>
        <v>2024 год</v>
      </c>
      <c r="AL39" s="40" t="str">
        <f t="shared" si="1"/>
        <v>2024 год</v>
      </c>
      <c r="AM39" s="40">
        <v>1</v>
      </c>
    </row>
    <row r="40" spans="1:39" ht="31.5" x14ac:dyDescent="0.25">
      <c r="A40" s="24">
        <v>33</v>
      </c>
      <c r="B40" s="478" t="s">
        <v>1744</v>
      </c>
      <c r="C40" s="35">
        <v>45384</v>
      </c>
      <c r="D40" s="24" t="s">
        <v>23</v>
      </c>
      <c r="E40" s="24" t="s">
        <v>1674</v>
      </c>
      <c r="F40" s="143">
        <v>170840003753</v>
      </c>
      <c r="G40" s="24" t="s">
        <v>1673</v>
      </c>
      <c r="H40" s="143">
        <v>200440003119</v>
      </c>
      <c r="I40" s="98">
        <v>6933930768</v>
      </c>
      <c r="J40" s="240">
        <v>31440.78</v>
      </c>
      <c r="K40" s="240">
        <v>19913.75</v>
      </c>
      <c r="L40" s="240">
        <v>1970.11</v>
      </c>
      <c r="M40" s="36">
        <v>220.53899999999999</v>
      </c>
      <c r="N40" s="36">
        <v>674.78599999999994</v>
      </c>
      <c r="O40" s="100">
        <v>45394</v>
      </c>
      <c r="P40" s="24">
        <v>261</v>
      </c>
      <c r="Q40" s="24"/>
      <c r="R40" s="24">
        <v>8.9</v>
      </c>
      <c r="S40" s="35">
        <v>45273</v>
      </c>
      <c r="T40" s="35">
        <v>45974</v>
      </c>
      <c r="U40" s="147"/>
      <c r="V40" s="147"/>
      <c r="W40" s="147"/>
      <c r="X40" s="35">
        <v>45974</v>
      </c>
      <c r="Y40" s="98">
        <v>69339308</v>
      </c>
      <c r="Z40" s="35" t="s">
        <v>2313</v>
      </c>
      <c r="AA40" s="147"/>
      <c r="AB40" s="99" t="s">
        <v>2081</v>
      </c>
      <c r="AC40" s="99" t="s">
        <v>2224</v>
      </c>
      <c r="AD40" s="36">
        <v>64</v>
      </c>
      <c r="AE40" s="36">
        <v>0</v>
      </c>
      <c r="AF40" s="36">
        <v>1</v>
      </c>
      <c r="AG40" s="36">
        <v>476</v>
      </c>
      <c r="AH40" s="36"/>
      <c r="AI40" s="24" t="s">
        <v>23</v>
      </c>
      <c r="AJ40" s="24" t="s">
        <v>23</v>
      </c>
      <c r="AK40" s="40" t="str">
        <f t="shared" si="0"/>
        <v>2024 год</v>
      </c>
      <c r="AL40" s="40" t="str">
        <f t="shared" si="1"/>
        <v>2024 год</v>
      </c>
      <c r="AM40" s="40">
        <v>1</v>
      </c>
    </row>
    <row r="41" spans="1:39" x14ac:dyDescent="0.25">
      <c r="A41" s="24">
        <v>34</v>
      </c>
      <c r="B41" s="478" t="s">
        <v>2003</v>
      </c>
      <c r="C41" s="35">
        <v>45391</v>
      </c>
      <c r="D41" s="24" t="s">
        <v>452</v>
      </c>
      <c r="E41" s="24" t="s">
        <v>696</v>
      </c>
      <c r="F41" s="145" t="s">
        <v>1648</v>
      </c>
      <c r="G41" s="24" t="s">
        <v>1728</v>
      </c>
      <c r="H41" s="143">
        <v>240140030559</v>
      </c>
      <c r="I41" s="98">
        <v>2341382653</v>
      </c>
      <c r="J41" s="240">
        <v>10974.61</v>
      </c>
      <c r="K41" s="240">
        <v>6795.68</v>
      </c>
      <c r="L41" s="240"/>
      <c r="M41" s="36">
        <v>213.345</v>
      </c>
      <c r="N41" s="36">
        <v>360</v>
      </c>
      <c r="O41" s="100">
        <v>45418</v>
      </c>
      <c r="P41" s="24">
        <v>120</v>
      </c>
      <c r="Q41" s="24"/>
      <c r="R41" s="24">
        <v>5</v>
      </c>
      <c r="S41" s="35">
        <v>45414</v>
      </c>
      <c r="T41" s="35">
        <v>45718</v>
      </c>
      <c r="U41" s="147"/>
      <c r="V41" s="147"/>
      <c r="W41" s="147"/>
      <c r="X41" s="35">
        <v>45718</v>
      </c>
      <c r="Y41" s="98">
        <v>23413827</v>
      </c>
      <c r="Z41" s="35" t="s">
        <v>1763</v>
      </c>
      <c r="AA41" s="147"/>
      <c r="AB41" s="35" t="s">
        <v>2226</v>
      </c>
      <c r="AC41" s="35" t="s">
        <v>2306</v>
      </c>
      <c r="AD41" s="36">
        <v>96</v>
      </c>
      <c r="AE41" s="36">
        <v>0</v>
      </c>
      <c r="AF41" s="36">
        <v>1</v>
      </c>
      <c r="AG41" s="36">
        <v>485</v>
      </c>
      <c r="AH41" s="36"/>
      <c r="AI41" s="24" t="s">
        <v>452</v>
      </c>
      <c r="AJ41" s="24" t="s">
        <v>452</v>
      </c>
      <c r="AK41" s="40" t="str">
        <f t="shared" si="0"/>
        <v>2024 год</v>
      </c>
      <c r="AL41" s="40" t="str">
        <f t="shared" si="1"/>
        <v>2024 год</v>
      </c>
      <c r="AM41" s="40">
        <v>1</v>
      </c>
    </row>
    <row r="42" spans="1:39" s="163" customFormat="1" ht="31.5" x14ac:dyDescent="0.25">
      <c r="A42" s="24">
        <v>35</v>
      </c>
      <c r="B42" s="478" t="s">
        <v>2036</v>
      </c>
      <c r="C42" s="35">
        <v>45398</v>
      </c>
      <c r="D42" s="24" t="s">
        <v>1179</v>
      </c>
      <c r="E42" s="24" t="s">
        <v>1694</v>
      </c>
      <c r="F42" s="190" t="s">
        <v>1748</v>
      </c>
      <c r="G42" s="24" t="s">
        <v>1695</v>
      </c>
      <c r="H42" s="190" t="s">
        <v>1749</v>
      </c>
      <c r="I42" s="98">
        <v>7417681106</v>
      </c>
      <c r="J42" s="240">
        <v>21357.11</v>
      </c>
      <c r="K42" s="240">
        <v>15245.91</v>
      </c>
      <c r="L42" s="240">
        <v>360.35</v>
      </c>
      <c r="M42" s="36">
        <v>475.30200000000002</v>
      </c>
      <c r="N42" s="36">
        <v>538.98500000000001</v>
      </c>
      <c r="O42" s="100">
        <v>45440</v>
      </c>
      <c r="P42" s="24">
        <v>209</v>
      </c>
      <c r="Q42" s="24"/>
      <c r="R42" s="24">
        <v>12.13</v>
      </c>
      <c r="S42" s="35">
        <v>45342</v>
      </c>
      <c r="T42" s="35">
        <v>45828</v>
      </c>
      <c r="U42" s="147"/>
      <c r="V42" s="147"/>
      <c r="W42" s="147"/>
      <c r="X42" s="35">
        <v>45828</v>
      </c>
      <c r="Y42" s="98">
        <v>44482873</v>
      </c>
      <c r="Z42" s="35" t="s">
        <v>1775</v>
      </c>
      <c r="AA42" s="147"/>
      <c r="AB42" s="35" t="s">
        <v>2080</v>
      </c>
      <c r="AC42" s="35" t="s">
        <v>2305</v>
      </c>
      <c r="AD42" s="36">
        <v>85</v>
      </c>
      <c r="AE42" s="36">
        <v>0</v>
      </c>
      <c r="AF42" s="36">
        <v>1</v>
      </c>
      <c r="AG42" s="24">
        <v>479</v>
      </c>
      <c r="AH42" s="36"/>
      <c r="AI42" s="24" t="s">
        <v>1179</v>
      </c>
      <c r="AJ42" s="24" t="s">
        <v>1179</v>
      </c>
      <c r="AK42" s="40" t="str">
        <f t="shared" si="0"/>
        <v>2024 год</v>
      </c>
      <c r="AL42" s="40" t="str">
        <f t="shared" si="1"/>
        <v>2024 год</v>
      </c>
      <c r="AM42" s="40">
        <v>1</v>
      </c>
    </row>
    <row r="43" spans="1:39" x14ac:dyDescent="0.25">
      <c r="A43" s="24">
        <v>36</v>
      </c>
      <c r="B43" s="478" t="s">
        <v>1734</v>
      </c>
      <c r="C43" s="35">
        <v>45400</v>
      </c>
      <c r="D43" s="24" t="s">
        <v>452</v>
      </c>
      <c r="E43" s="24" t="s">
        <v>696</v>
      </c>
      <c r="F43" s="190" t="s">
        <v>1648</v>
      </c>
      <c r="G43" s="24" t="s">
        <v>1735</v>
      </c>
      <c r="H43" s="190" t="s">
        <v>1750</v>
      </c>
      <c r="I43" s="98">
        <v>2838193666</v>
      </c>
      <c r="J43" s="240">
        <v>13734.47</v>
      </c>
      <c r="K43" s="240">
        <v>8561.6299999999992</v>
      </c>
      <c r="L43" s="240"/>
      <c r="M43" s="36">
        <v>206.64699999999999</v>
      </c>
      <c r="N43" s="36">
        <v>370</v>
      </c>
      <c r="O43" s="100">
        <v>45425</v>
      </c>
      <c r="P43" s="24">
        <v>155</v>
      </c>
      <c r="Q43" s="24"/>
      <c r="R43" s="24">
        <v>5</v>
      </c>
      <c r="S43" s="35">
        <v>45439</v>
      </c>
      <c r="T43" s="35">
        <v>45743</v>
      </c>
      <c r="U43" s="147"/>
      <c r="V43" s="147"/>
      <c r="W43" s="147"/>
      <c r="X43" s="35">
        <f>T43</f>
        <v>45743</v>
      </c>
      <c r="Y43" s="98">
        <v>28381937</v>
      </c>
      <c r="Z43" s="35" t="s">
        <v>1764</v>
      </c>
      <c r="AA43" s="147"/>
      <c r="AB43" s="35" t="s">
        <v>2226</v>
      </c>
      <c r="AC43" s="35" t="s">
        <v>2306</v>
      </c>
      <c r="AD43" s="36">
        <v>96</v>
      </c>
      <c r="AE43" s="36">
        <v>0</v>
      </c>
      <c r="AF43" s="36" t="s">
        <v>28</v>
      </c>
      <c r="AG43" s="24">
        <v>486</v>
      </c>
      <c r="AH43" s="36"/>
      <c r="AI43" s="24" t="s">
        <v>452</v>
      </c>
      <c r="AJ43" s="24" t="s">
        <v>452</v>
      </c>
      <c r="AK43" s="40" t="str">
        <f t="shared" si="0"/>
        <v>2024 год</v>
      </c>
      <c r="AL43" s="40" t="str">
        <f t="shared" si="1"/>
        <v>2024 год</v>
      </c>
      <c r="AM43" s="40">
        <v>1</v>
      </c>
    </row>
    <row r="44" spans="1:39" ht="31.5" x14ac:dyDescent="0.25">
      <c r="A44" s="24">
        <v>37</v>
      </c>
      <c r="B44" s="478" t="s">
        <v>1696</v>
      </c>
      <c r="C44" s="35">
        <v>45400</v>
      </c>
      <c r="D44" s="24" t="s">
        <v>1179</v>
      </c>
      <c r="E44" s="24" t="s">
        <v>758</v>
      </c>
      <c r="F44" s="190" t="s">
        <v>1645</v>
      </c>
      <c r="G44" s="24" t="s">
        <v>1565</v>
      </c>
      <c r="H44" s="190" t="s">
        <v>1751</v>
      </c>
      <c r="I44" s="98">
        <v>9904943139</v>
      </c>
      <c r="J44" s="240">
        <v>36505.1</v>
      </c>
      <c r="K44" s="240">
        <v>23133.01</v>
      </c>
      <c r="L44" s="240">
        <v>1924.31</v>
      </c>
      <c r="M44" s="36">
        <v>271.33</v>
      </c>
      <c r="N44" s="36">
        <v>433.77300000000002</v>
      </c>
      <c r="O44" s="100">
        <v>45441</v>
      </c>
      <c r="P44" s="98">
        <v>450</v>
      </c>
      <c r="Q44" s="98"/>
      <c r="R44" s="24">
        <v>9</v>
      </c>
      <c r="S44" s="35">
        <v>44971</v>
      </c>
      <c r="T44" s="35">
        <v>45549</v>
      </c>
      <c r="U44" s="35">
        <v>45640</v>
      </c>
      <c r="V44" s="147"/>
      <c r="W44" s="147"/>
      <c r="X44" s="35">
        <v>45640</v>
      </c>
      <c r="Y44" s="98">
        <v>55757073</v>
      </c>
      <c r="Z44" s="35" t="s">
        <v>1776</v>
      </c>
      <c r="AA44" s="147"/>
      <c r="AB44" s="35" t="s">
        <v>2080</v>
      </c>
      <c r="AC44" s="35" t="s">
        <v>2305</v>
      </c>
      <c r="AD44" s="36">
        <v>75</v>
      </c>
      <c r="AE44" s="36">
        <v>0</v>
      </c>
      <c r="AF44" s="36">
        <v>4</v>
      </c>
      <c r="AG44" s="24">
        <v>477</v>
      </c>
      <c r="AH44" s="36"/>
      <c r="AI44" s="24" t="s">
        <v>1179</v>
      </c>
      <c r="AJ44" s="24" t="s">
        <v>1179</v>
      </c>
      <c r="AK44" s="40" t="str">
        <f t="shared" si="0"/>
        <v>2024 год</v>
      </c>
      <c r="AL44" s="40" t="str">
        <f t="shared" si="1"/>
        <v>2024 год</v>
      </c>
      <c r="AM44" s="40">
        <v>1</v>
      </c>
    </row>
    <row r="45" spans="1:39" ht="47.25" x14ac:dyDescent="0.25">
      <c r="A45" s="24">
        <v>38</v>
      </c>
      <c r="B45" s="478" t="s">
        <v>1773</v>
      </c>
      <c r="C45" s="199">
        <v>45456</v>
      </c>
      <c r="D45" s="24" t="s">
        <v>174</v>
      </c>
      <c r="E45" s="24" t="s">
        <v>699</v>
      </c>
      <c r="F45" s="145" t="s">
        <v>1626</v>
      </c>
      <c r="G45" s="145" t="s">
        <v>1592</v>
      </c>
      <c r="H45" s="145" t="s">
        <v>1663</v>
      </c>
      <c r="I45" s="98">
        <v>11265640030</v>
      </c>
      <c r="J45" s="263">
        <v>33009.83</v>
      </c>
      <c r="K45" s="263">
        <v>20716.57</v>
      </c>
      <c r="L45" s="240">
        <v>1103.8599999999999</v>
      </c>
      <c r="M45" s="201">
        <v>341.28100000000001</v>
      </c>
      <c r="N45" s="201">
        <v>440</v>
      </c>
      <c r="O45" s="265">
        <v>45483</v>
      </c>
      <c r="P45" s="200">
        <v>348</v>
      </c>
      <c r="Q45" s="200"/>
      <c r="R45" s="198" t="s">
        <v>2001</v>
      </c>
      <c r="S45" s="199">
        <v>45411</v>
      </c>
      <c r="T45" s="199">
        <v>45990</v>
      </c>
      <c r="U45" s="202"/>
      <c r="V45" s="202"/>
      <c r="W45" s="202"/>
      <c r="X45" s="199">
        <v>45990</v>
      </c>
      <c r="Y45" s="200">
        <v>101373086</v>
      </c>
      <c r="Z45" s="199" t="s">
        <v>2316</v>
      </c>
      <c r="AA45" s="202"/>
      <c r="AB45" s="203" t="s">
        <v>2079</v>
      </c>
      <c r="AC45" s="203" t="s">
        <v>2307</v>
      </c>
      <c r="AD45" s="201">
        <v>83</v>
      </c>
      <c r="AE45" s="201">
        <v>0</v>
      </c>
      <c r="AF45" s="201">
        <v>1</v>
      </c>
      <c r="AG45" s="198">
        <v>488</v>
      </c>
      <c r="AH45" s="201"/>
      <c r="AI45" s="24" t="s">
        <v>174</v>
      </c>
      <c r="AJ45" s="24" t="s">
        <v>174</v>
      </c>
      <c r="AK45" s="40" t="str">
        <f t="shared" si="0"/>
        <v>2024 год</v>
      </c>
      <c r="AL45" s="40" t="str">
        <f t="shared" si="1"/>
        <v>2024 год</v>
      </c>
      <c r="AM45" s="40">
        <v>1</v>
      </c>
    </row>
    <row r="46" spans="1:39" ht="47.25" x14ac:dyDescent="0.25">
      <c r="A46" s="24">
        <v>39</v>
      </c>
      <c r="B46" s="478" t="s">
        <v>2037</v>
      </c>
      <c r="C46" s="199">
        <v>45491</v>
      </c>
      <c r="D46" s="24" t="s">
        <v>760</v>
      </c>
      <c r="E46" s="24" t="s">
        <v>1456</v>
      </c>
      <c r="F46" s="145" t="s">
        <v>1950</v>
      </c>
      <c r="G46" s="24" t="s">
        <v>1457</v>
      </c>
      <c r="H46" s="145" t="s">
        <v>1651</v>
      </c>
      <c r="I46" s="98">
        <v>898033122</v>
      </c>
      <c r="J46" s="263">
        <v>3419.26</v>
      </c>
      <c r="K46" s="263">
        <v>2732.59</v>
      </c>
      <c r="L46" s="240"/>
      <c r="M46" s="201">
        <v>328.63799999999998</v>
      </c>
      <c r="N46" s="201">
        <v>369.44400000000002</v>
      </c>
      <c r="O46" s="265">
        <v>45513</v>
      </c>
      <c r="P46" s="200">
        <v>36</v>
      </c>
      <c r="Q46" s="200"/>
      <c r="R46" s="198">
        <v>9</v>
      </c>
      <c r="S46" s="199">
        <v>45449</v>
      </c>
      <c r="T46" s="199">
        <v>45783</v>
      </c>
      <c r="U46" s="202"/>
      <c r="V46" s="202"/>
      <c r="W46" s="202"/>
      <c r="X46" s="199">
        <v>45783</v>
      </c>
      <c r="Y46" s="200">
        <v>7521250</v>
      </c>
      <c r="Z46" s="199" t="s">
        <v>2314</v>
      </c>
      <c r="AA46" s="202"/>
      <c r="AB46" s="35" t="s">
        <v>2080</v>
      </c>
      <c r="AC46" s="35" t="s">
        <v>2305</v>
      </c>
      <c r="AD46" s="201">
        <v>72</v>
      </c>
      <c r="AE46" s="201">
        <v>0</v>
      </c>
      <c r="AF46" s="201">
        <v>0</v>
      </c>
      <c r="AG46" s="198">
        <v>490</v>
      </c>
      <c r="AH46" s="201"/>
      <c r="AI46" s="24" t="s">
        <v>760</v>
      </c>
      <c r="AJ46" s="24" t="s">
        <v>760</v>
      </c>
      <c r="AK46" s="40" t="str">
        <f t="shared" si="0"/>
        <v>2024 год</v>
      </c>
      <c r="AL46" s="40" t="str">
        <f t="shared" si="1"/>
        <v>2024 год</v>
      </c>
      <c r="AM46" s="40">
        <v>1</v>
      </c>
    </row>
    <row r="47" spans="1:39" ht="47.25" x14ac:dyDescent="0.25">
      <c r="A47" s="24">
        <v>40</v>
      </c>
      <c r="B47" s="478" t="s">
        <v>2011</v>
      </c>
      <c r="C47" s="35">
        <v>45484</v>
      </c>
      <c r="D47" s="24" t="s">
        <v>23</v>
      </c>
      <c r="E47" s="24" t="s">
        <v>817</v>
      </c>
      <c r="F47" s="145" t="s">
        <v>1628</v>
      </c>
      <c r="G47" s="24" t="s">
        <v>1778</v>
      </c>
      <c r="H47" s="145" t="s">
        <v>1629</v>
      </c>
      <c r="I47" s="98">
        <v>3103406715</v>
      </c>
      <c r="J47" s="263">
        <v>8853.6</v>
      </c>
      <c r="K47" s="263">
        <v>7182.3</v>
      </c>
      <c r="L47" s="240"/>
      <c r="M47" s="201">
        <v>350.52499999999998</v>
      </c>
      <c r="N47" s="201">
        <v>432.09100000000001</v>
      </c>
      <c r="O47" s="265">
        <v>45513</v>
      </c>
      <c r="P47" s="200">
        <v>142</v>
      </c>
      <c r="Q47" s="200"/>
      <c r="R47" s="198">
        <v>9.1</v>
      </c>
      <c r="S47" s="199">
        <v>45444</v>
      </c>
      <c r="T47" s="199">
        <v>45658</v>
      </c>
      <c r="U47" s="202"/>
      <c r="V47" s="202"/>
      <c r="W47" s="202"/>
      <c r="X47" s="199">
        <v>45658</v>
      </c>
      <c r="Y47" s="200">
        <v>27444388</v>
      </c>
      <c r="Z47" s="199" t="s">
        <v>2317</v>
      </c>
      <c r="AA47" s="202"/>
      <c r="AB47" s="99" t="s">
        <v>2081</v>
      </c>
      <c r="AC47" s="99" t="s">
        <v>2224</v>
      </c>
      <c r="AD47" s="201">
        <v>80</v>
      </c>
      <c r="AE47" s="201">
        <v>0</v>
      </c>
      <c r="AF47" s="201">
        <v>1</v>
      </c>
      <c r="AG47" s="198">
        <v>489</v>
      </c>
      <c r="AH47" s="201"/>
      <c r="AI47" s="24" t="s">
        <v>23</v>
      </c>
      <c r="AJ47" s="24" t="s">
        <v>23</v>
      </c>
      <c r="AK47" s="40" t="str">
        <f t="shared" si="0"/>
        <v>2024 год</v>
      </c>
      <c r="AL47" s="40" t="str">
        <f t="shared" si="1"/>
        <v>2024 год</v>
      </c>
      <c r="AM47" s="40">
        <v>1</v>
      </c>
    </row>
    <row r="48" spans="1:39" ht="47.25" x14ac:dyDescent="0.25">
      <c r="A48" s="24">
        <v>41</v>
      </c>
      <c r="B48" s="478" t="s">
        <v>2038</v>
      </c>
      <c r="C48" s="199">
        <v>45491</v>
      </c>
      <c r="D48" s="24" t="s">
        <v>760</v>
      </c>
      <c r="E48" s="24" t="s">
        <v>1456</v>
      </c>
      <c r="F48" s="145" t="s">
        <v>1950</v>
      </c>
      <c r="G48" s="24" t="s">
        <v>1457</v>
      </c>
      <c r="H48" s="145" t="s">
        <v>1651</v>
      </c>
      <c r="I48" s="98">
        <v>680140869</v>
      </c>
      <c r="J48" s="263">
        <v>2726.43</v>
      </c>
      <c r="K48" s="263">
        <v>1784.9</v>
      </c>
      <c r="L48" s="240">
        <v>308.24</v>
      </c>
      <c r="M48" s="201">
        <v>324.93799999999999</v>
      </c>
      <c r="N48" s="201">
        <v>380</v>
      </c>
      <c r="O48" s="265">
        <v>45516</v>
      </c>
      <c r="P48" s="200">
        <v>24</v>
      </c>
      <c r="Q48" s="200"/>
      <c r="R48" s="198">
        <v>9</v>
      </c>
      <c r="S48" s="199">
        <v>45462</v>
      </c>
      <c r="T48" s="199">
        <v>45827</v>
      </c>
      <c r="U48" s="202"/>
      <c r="V48" s="202"/>
      <c r="W48" s="202"/>
      <c r="X48" s="199">
        <v>45827</v>
      </c>
      <c r="Y48" s="200">
        <v>5473612</v>
      </c>
      <c r="Z48" s="199" t="s">
        <v>2318</v>
      </c>
      <c r="AA48" s="202"/>
      <c r="AB48" s="35" t="s">
        <v>2080</v>
      </c>
      <c r="AC48" s="35" t="s">
        <v>2305</v>
      </c>
      <c r="AD48" s="201">
        <v>72</v>
      </c>
      <c r="AE48" s="201">
        <v>0</v>
      </c>
      <c r="AF48" s="201">
        <v>0</v>
      </c>
      <c r="AG48" s="198">
        <v>495</v>
      </c>
      <c r="AH48" s="201"/>
      <c r="AI48" s="24" t="s">
        <v>760</v>
      </c>
      <c r="AJ48" s="24" t="s">
        <v>760</v>
      </c>
      <c r="AK48" s="40" t="str">
        <f t="shared" si="0"/>
        <v>2024 год</v>
      </c>
      <c r="AL48" s="40" t="str">
        <f t="shared" si="1"/>
        <v>2024 год</v>
      </c>
      <c r="AM48" s="40">
        <v>1</v>
      </c>
    </row>
    <row r="49" spans="1:39" ht="47.25" x14ac:dyDescent="0.25">
      <c r="A49" s="198">
        <v>42</v>
      </c>
      <c r="B49" s="478" t="s">
        <v>2020</v>
      </c>
      <c r="C49" s="477">
        <v>45517</v>
      </c>
      <c r="D49" s="24" t="s">
        <v>1179</v>
      </c>
      <c r="E49" s="24" t="s">
        <v>1725</v>
      </c>
      <c r="F49" s="190" t="s">
        <v>1953</v>
      </c>
      <c r="G49" s="24" t="s">
        <v>1726</v>
      </c>
      <c r="H49" s="190" t="s">
        <v>1966</v>
      </c>
      <c r="I49" s="98">
        <v>5390249441</v>
      </c>
      <c r="J49" s="240">
        <v>29864.22</v>
      </c>
      <c r="K49" s="263">
        <v>19052.13</v>
      </c>
      <c r="L49" s="240">
        <v>16884.03</v>
      </c>
      <c r="M49" s="201">
        <v>180.49199999999999</v>
      </c>
      <c r="N49" s="201">
        <v>403.83</v>
      </c>
      <c r="O49" s="265">
        <v>45520</v>
      </c>
      <c r="P49" s="98">
        <v>329</v>
      </c>
      <c r="Q49" s="200"/>
      <c r="R49" s="198" t="s">
        <v>433</v>
      </c>
      <c r="S49" s="199">
        <v>45497</v>
      </c>
      <c r="T49" s="199">
        <v>45954</v>
      </c>
      <c r="U49" s="202"/>
      <c r="V49" s="202"/>
      <c r="W49" s="202"/>
      <c r="X49" s="199">
        <v>45954</v>
      </c>
      <c r="Y49" s="200">
        <v>45450566</v>
      </c>
      <c r="Z49" s="199" t="s">
        <v>2319</v>
      </c>
      <c r="AA49" s="202"/>
      <c r="AB49" s="35" t="s">
        <v>2080</v>
      </c>
      <c r="AC49" s="35" t="s">
        <v>2305</v>
      </c>
      <c r="AD49" s="201">
        <v>85</v>
      </c>
      <c r="AE49" s="201"/>
      <c r="AF49" s="201">
        <v>0</v>
      </c>
      <c r="AG49" s="198">
        <v>493</v>
      </c>
      <c r="AH49" s="201"/>
      <c r="AI49" s="24" t="s">
        <v>1179</v>
      </c>
      <c r="AJ49" s="24" t="s">
        <v>1179</v>
      </c>
      <c r="AK49" s="40" t="str">
        <f t="shared" si="0"/>
        <v>2024 год</v>
      </c>
      <c r="AL49" s="40" t="str">
        <f t="shared" si="1"/>
        <v>2024 год</v>
      </c>
      <c r="AM49" s="40">
        <v>1</v>
      </c>
    </row>
    <row r="50" spans="1:39" ht="31.5" x14ac:dyDescent="0.25">
      <c r="A50" s="24">
        <v>43</v>
      </c>
      <c r="B50" s="478" t="s">
        <v>1806</v>
      </c>
      <c r="C50" s="35">
        <v>45498</v>
      </c>
      <c r="D50" s="24" t="s">
        <v>1179</v>
      </c>
      <c r="E50" s="24" t="s">
        <v>1945</v>
      </c>
      <c r="F50" s="145" t="s">
        <v>1877</v>
      </c>
      <c r="G50" s="24" t="s">
        <v>1807</v>
      </c>
      <c r="H50" s="145" t="s">
        <v>1808</v>
      </c>
      <c r="I50" s="98">
        <v>10243010511</v>
      </c>
      <c r="J50" s="240">
        <v>35314.239999999998</v>
      </c>
      <c r="K50" s="263">
        <v>22802.18</v>
      </c>
      <c r="L50" s="240">
        <v>385.17</v>
      </c>
      <c r="M50" s="201">
        <v>290</v>
      </c>
      <c r="N50" s="201">
        <v>470</v>
      </c>
      <c r="O50" s="265">
        <v>45530</v>
      </c>
      <c r="P50" s="200">
        <v>377</v>
      </c>
      <c r="Q50" s="200"/>
      <c r="R50" s="198" t="s">
        <v>1944</v>
      </c>
      <c r="S50" s="199">
        <v>45450</v>
      </c>
      <c r="T50" s="199">
        <v>45937</v>
      </c>
      <c r="U50" s="202"/>
      <c r="V50" s="202"/>
      <c r="W50" s="202"/>
      <c r="X50" s="199">
        <v>45937</v>
      </c>
      <c r="Y50" s="200">
        <v>87753132</v>
      </c>
      <c r="Z50" s="199" t="s">
        <v>2320</v>
      </c>
      <c r="AA50" s="202"/>
      <c r="AB50" s="35" t="s">
        <v>2080</v>
      </c>
      <c r="AC50" s="35" t="s">
        <v>2305</v>
      </c>
      <c r="AD50" s="201">
        <v>82</v>
      </c>
      <c r="AE50" s="201">
        <v>0</v>
      </c>
      <c r="AF50" s="201">
        <v>0</v>
      </c>
      <c r="AG50" s="198">
        <v>494</v>
      </c>
      <c r="AH50" s="201"/>
      <c r="AI50" s="24" t="s">
        <v>1179</v>
      </c>
      <c r="AJ50" s="24" t="s">
        <v>1179</v>
      </c>
      <c r="AK50" s="40" t="str">
        <f t="shared" si="0"/>
        <v>2024 год</v>
      </c>
      <c r="AL50" s="40" t="str">
        <f t="shared" si="1"/>
        <v>2024 год</v>
      </c>
      <c r="AM50" s="40">
        <v>1</v>
      </c>
    </row>
    <row r="51" spans="1:39" x14ac:dyDescent="0.25">
      <c r="A51" s="198">
        <v>44</v>
      </c>
      <c r="B51" s="478" t="s">
        <v>2002</v>
      </c>
      <c r="C51" s="477">
        <v>45513</v>
      </c>
      <c r="D51" s="27" t="s">
        <v>174</v>
      </c>
      <c r="E51" s="24" t="s">
        <v>1810</v>
      </c>
      <c r="F51" s="145" t="s">
        <v>1639</v>
      </c>
      <c r="G51" s="24" t="s">
        <v>1811</v>
      </c>
      <c r="H51" s="145" t="s">
        <v>1812</v>
      </c>
      <c r="I51" s="98">
        <v>2835753390</v>
      </c>
      <c r="J51" s="240">
        <v>9803.7000000000007</v>
      </c>
      <c r="K51" s="263">
        <v>6712.14</v>
      </c>
      <c r="L51" s="240"/>
      <c r="M51" s="201">
        <v>289.25299999999999</v>
      </c>
      <c r="N51" s="201">
        <v>427</v>
      </c>
      <c r="O51" s="265">
        <v>45540</v>
      </c>
      <c r="P51" s="98">
        <v>130</v>
      </c>
      <c r="Q51" s="200"/>
      <c r="R51" s="198">
        <v>5</v>
      </c>
      <c r="S51" s="199">
        <v>45449</v>
      </c>
      <c r="T51" s="199">
        <v>45753</v>
      </c>
      <c r="U51" s="202"/>
      <c r="V51" s="202"/>
      <c r="W51" s="202"/>
      <c r="X51" s="199">
        <v>45753</v>
      </c>
      <c r="Y51" s="200">
        <v>26255342</v>
      </c>
      <c r="Z51" s="199" t="s">
        <v>2321</v>
      </c>
      <c r="AA51" s="202"/>
      <c r="AB51" s="99" t="s">
        <v>2079</v>
      </c>
      <c r="AC51" s="99" t="s">
        <v>2307</v>
      </c>
      <c r="AD51" s="201">
        <v>89</v>
      </c>
      <c r="AE51" s="201"/>
      <c r="AF51" s="201">
        <v>1</v>
      </c>
      <c r="AG51" s="198">
        <v>497</v>
      </c>
      <c r="AH51" s="201"/>
      <c r="AI51" s="27" t="s">
        <v>174</v>
      </c>
      <c r="AJ51" s="27" t="s">
        <v>174</v>
      </c>
      <c r="AK51" s="40" t="str">
        <f t="shared" si="0"/>
        <v>2024 год</v>
      </c>
      <c r="AL51" s="40" t="str">
        <f t="shared" si="1"/>
        <v>2024 год</v>
      </c>
      <c r="AM51" s="40">
        <v>1</v>
      </c>
    </row>
    <row r="52" spans="1:39" ht="47.25" x14ac:dyDescent="0.25">
      <c r="A52" s="198">
        <v>45</v>
      </c>
      <c r="B52" s="478" t="s">
        <v>1883</v>
      </c>
      <c r="C52" s="35">
        <v>45520</v>
      </c>
      <c r="D52" s="24" t="s">
        <v>1179</v>
      </c>
      <c r="E52" s="24" t="s">
        <v>716</v>
      </c>
      <c r="F52" s="143">
        <v>960340000376</v>
      </c>
      <c r="G52" s="190" t="s">
        <v>1582</v>
      </c>
      <c r="H52" s="145" t="s">
        <v>1669</v>
      </c>
      <c r="I52" s="98">
        <v>6454916135</v>
      </c>
      <c r="J52" s="240">
        <v>17342.5</v>
      </c>
      <c r="K52" s="263">
        <v>7461</v>
      </c>
      <c r="L52" s="240">
        <v>1053.3</v>
      </c>
      <c r="M52" s="201">
        <v>372.202</v>
      </c>
      <c r="N52" s="201">
        <v>635.625</v>
      </c>
      <c r="O52" s="265">
        <v>45540</v>
      </c>
      <c r="P52" s="98">
        <v>80</v>
      </c>
      <c r="Q52" s="200"/>
      <c r="R52" s="198">
        <v>8</v>
      </c>
      <c r="S52" s="199">
        <v>45392</v>
      </c>
      <c r="T52" s="199">
        <v>46091</v>
      </c>
      <c r="U52" s="202"/>
      <c r="V52" s="202"/>
      <c r="W52" s="202"/>
      <c r="X52" s="199">
        <v>46091</v>
      </c>
      <c r="Y52" s="200">
        <v>63686003.060000002</v>
      </c>
      <c r="Z52" s="199" t="s">
        <v>2322</v>
      </c>
      <c r="AA52" s="202"/>
      <c r="AB52" s="35" t="s">
        <v>2080</v>
      </c>
      <c r="AC52" s="35" t="s">
        <v>2305</v>
      </c>
      <c r="AD52" s="201">
        <v>95</v>
      </c>
      <c r="AE52" s="201"/>
      <c r="AF52" s="201">
        <v>0</v>
      </c>
      <c r="AG52" s="198">
        <v>499</v>
      </c>
      <c r="AH52" s="201"/>
      <c r="AI52" s="24" t="s">
        <v>1179</v>
      </c>
      <c r="AJ52" s="24" t="s">
        <v>1179</v>
      </c>
      <c r="AK52" s="40" t="str">
        <f t="shared" si="0"/>
        <v>2024 год</v>
      </c>
      <c r="AL52" s="40" t="str">
        <f t="shared" si="1"/>
        <v>2024 год</v>
      </c>
      <c r="AM52" s="40">
        <v>1</v>
      </c>
    </row>
    <row r="53" spans="1:39" ht="31.5" x14ac:dyDescent="0.25">
      <c r="A53" s="198">
        <v>46</v>
      </c>
      <c r="B53" s="478" t="s">
        <v>2266</v>
      </c>
      <c r="C53" s="35">
        <v>45538</v>
      </c>
      <c r="D53" s="24" t="s">
        <v>1179</v>
      </c>
      <c r="E53" s="24" t="s">
        <v>1945</v>
      </c>
      <c r="F53" s="145" t="s">
        <v>1877</v>
      </c>
      <c r="G53" s="24" t="s">
        <v>1881</v>
      </c>
      <c r="H53" s="145" t="s">
        <v>1882</v>
      </c>
      <c r="I53" s="98">
        <v>5936601406</v>
      </c>
      <c r="J53" s="240">
        <v>17629.990000000002</v>
      </c>
      <c r="K53" s="263">
        <v>11241.39</v>
      </c>
      <c r="L53" s="240">
        <v>1264</v>
      </c>
      <c r="M53" s="201">
        <v>336.733</v>
      </c>
      <c r="N53" s="201">
        <v>475.66500000000002</v>
      </c>
      <c r="O53" s="265">
        <v>45567</v>
      </c>
      <c r="P53" s="200">
        <v>188</v>
      </c>
      <c r="Q53" s="200"/>
      <c r="R53" s="198" t="s">
        <v>193</v>
      </c>
      <c r="S53" s="199">
        <v>45474</v>
      </c>
      <c r="T53" s="199">
        <v>45809</v>
      </c>
      <c r="U53" s="202"/>
      <c r="V53" s="202"/>
      <c r="W53" s="202"/>
      <c r="X53" s="199">
        <v>45809</v>
      </c>
      <c r="Y53" s="200">
        <v>44093533</v>
      </c>
      <c r="Z53" s="199" t="s">
        <v>2323</v>
      </c>
      <c r="AA53" s="202"/>
      <c r="AB53" s="35" t="s">
        <v>2080</v>
      </c>
      <c r="AC53" s="35" t="s">
        <v>2305</v>
      </c>
      <c r="AD53" s="201">
        <v>82</v>
      </c>
      <c r="AE53" s="201">
        <v>0</v>
      </c>
      <c r="AF53" s="201">
        <v>1</v>
      </c>
      <c r="AG53" s="198">
        <v>498</v>
      </c>
      <c r="AH53" s="201"/>
      <c r="AI53" s="24" t="s">
        <v>1179</v>
      </c>
      <c r="AJ53" s="24" t="s">
        <v>1179</v>
      </c>
      <c r="AK53" s="40" t="str">
        <f t="shared" si="0"/>
        <v>2024 год</v>
      </c>
      <c r="AL53" s="40" t="str">
        <f t="shared" si="1"/>
        <v>2024 год</v>
      </c>
      <c r="AM53" s="40">
        <v>1</v>
      </c>
    </row>
    <row r="54" spans="1:39" ht="47.25" x14ac:dyDescent="0.25">
      <c r="A54" s="198">
        <v>47</v>
      </c>
      <c r="B54" s="481" t="s">
        <v>1984</v>
      </c>
      <c r="C54" s="199">
        <v>45538</v>
      </c>
      <c r="D54" s="198" t="s">
        <v>1179</v>
      </c>
      <c r="E54" s="198" t="s">
        <v>716</v>
      </c>
      <c r="F54" s="143">
        <v>960340000376</v>
      </c>
      <c r="G54" s="198" t="s">
        <v>717</v>
      </c>
      <c r="H54" s="296" t="s">
        <v>1967</v>
      </c>
      <c r="I54" s="200">
        <v>2589603399</v>
      </c>
      <c r="J54" s="263">
        <v>10791.17</v>
      </c>
      <c r="K54" s="263">
        <v>8276.5499999999993</v>
      </c>
      <c r="L54" s="240">
        <v>460.19</v>
      </c>
      <c r="M54" s="201">
        <v>239.97399999999999</v>
      </c>
      <c r="N54" s="201">
        <v>450</v>
      </c>
      <c r="O54" s="265">
        <v>45566</v>
      </c>
      <c r="P54" s="200">
        <v>102</v>
      </c>
      <c r="Q54" s="200"/>
      <c r="R54" s="198">
        <v>18</v>
      </c>
      <c r="S54" s="199">
        <v>45415</v>
      </c>
      <c r="T54" s="199">
        <v>45841</v>
      </c>
      <c r="U54" s="202"/>
      <c r="V54" s="202"/>
      <c r="W54" s="202"/>
      <c r="X54" s="199">
        <v>45841</v>
      </c>
      <c r="Y54" s="200">
        <v>24739461</v>
      </c>
      <c r="Z54" s="199" t="s">
        <v>2324</v>
      </c>
      <c r="AA54" s="202"/>
      <c r="AB54" s="199" t="s">
        <v>2080</v>
      </c>
      <c r="AC54" s="199" t="s">
        <v>2305</v>
      </c>
      <c r="AD54" s="201">
        <v>95</v>
      </c>
      <c r="AE54" s="201">
        <v>0</v>
      </c>
      <c r="AF54" s="201">
        <v>2</v>
      </c>
      <c r="AG54" s="198">
        <v>491</v>
      </c>
      <c r="AH54" s="201"/>
      <c r="AI54" s="198" t="s">
        <v>1179</v>
      </c>
      <c r="AJ54" s="198" t="s">
        <v>1179</v>
      </c>
      <c r="AK54" s="40" t="str">
        <f>CONCATENATE(YEAR(O54)," год")</f>
        <v>2024 год</v>
      </c>
      <c r="AL54" s="40" t="str">
        <f>CONCATENATE(YEAR(O54)," год")</f>
        <v>2024 год</v>
      </c>
      <c r="AM54" s="40">
        <v>1</v>
      </c>
    </row>
    <row r="55" spans="1:39" x14ac:dyDescent="0.25">
      <c r="A55" s="198">
        <v>48</v>
      </c>
      <c r="B55" s="481" t="s">
        <v>1878</v>
      </c>
      <c r="C55" s="531">
        <v>45575</v>
      </c>
      <c r="D55" s="531" t="s">
        <v>23</v>
      </c>
      <c r="E55" s="198" t="s">
        <v>889</v>
      </c>
      <c r="F55" s="262" t="s">
        <v>1952</v>
      </c>
      <c r="G55" s="296" t="s">
        <v>1870</v>
      </c>
      <c r="H55" s="262" t="s">
        <v>1879</v>
      </c>
      <c r="I55" s="200">
        <v>3249330210</v>
      </c>
      <c r="J55" s="263">
        <v>9118.5</v>
      </c>
      <c r="K55" s="263">
        <v>5713.11</v>
      </c>
      <c r="L55" s="263">
        <v>414.81</v>
      </c>
      <c r="M55" s="201">
        <v>569</v>
      </c>
      <c r="N55" s="201">
        <v>582</v>
      </c>
      <c r="O55" s="199" t="s">
        <v>1779</v>
      </c>
      <c r="P55" s="200">
        <v>120</v>
      </c>
      <c r="Q55" s="200"/>
      <c r="R55" s="198">
        <v>7.9</v>
      </c>
      <c r="S55" s="199">
        <v>45524</v>
      </c>
      <c r="T55" s="199">
        <v>45736</v>
      </c>
      <c r="U55" s="202"/>
      <c r="V55" s="202"/>
      <c r="W55" s="202"/>
      <c r="X55" s="199">
        <v>45736</v>
      </c>
      <c r="Y55" s="200">
        <v>32493302.109999999</v>
      </c>
      <c r="Z55" s="199"/>
      <c r="AA55" s="202"/>
      <c r="AB55" s="199" t="s">
        <v>2081</v>
      </c>
      <c r="AC55" s="199" t="s">
        <v>2224</v>
      </c>
      <c r="AD55" s="201">
        <v>74</v>
      </c>
      <c r="AE55" s="201">
        <v>0</v>
      </c>
      <c r="AF55" s="201"/>
      <c r="AG55" s="198">
        <v>496</v>
      </c>
      <c r="AH55" s="201"/>
      <c r="AI55" s="198" t="s">
        <v>23</v>
      </c>
      <c r="AJ55" s="198" t="s">
        <v>23</v>
      </c>
      <c r="AK55" s="532" t="e">
        <f>CONCATENATE(YEAR(O55)," год")</f>
        <v>#VALUE!</v>
      </c>
      <c r="AL55" s="532" t="e">
        <f>CONCATENATE(YEAR(O55)," год")</f>
        <v>#VALUE!</v>
      </c>
      <c r="AM55" s="532">
        <v>0</v>
      </c>
    </row>
    <row r="56" spans="1:39" x14ac:dyDescent="0.25">
      <c r="A56" s="198">
        <v>49</v>
      </c>
      <c r="B56" s="478" t="s">
        <v>2059</v>
      </c>
      <c r="C56" s="29">
        <v>45594</v>
      </c>
      <c r="D56" s="24" t="s">
        <v>1325</v>
      </c>
      <c r="E56" s="13" t="s">
        <v>2379</v>
      </c>
      <c r="F56" s="145" t="s">
        <v>1877</v>
      </c>
      <c r="G56" s="145" t="s">
        <v>2380</v>
      </c>
      <c r="H56" s="145" t="s">
        <v>2060</v>
      </c>
      <c r="I56" s="98">
        <v>14447740388</v>
      </c>
      <c r="J56" s="263">
        <v>42569.13</v>
      </c>
      <c r="K56" s="263">
        <v>25310.32</v>
      </c>
      <c r="L56" s="240">
        <v>1267.97</v>
      </c>
      <c r="M56" s="201">
        <v>339</v>
      </c>
      <c r="N56" s="201">
        <v>512</v>
      </c>
      <c r="O56" s="199" t="s">
        <v>1779</v>
      </c>
      <c r="P56" s="98">
        <v>360</v>
      </c>
      <c r="Q56" s="200"/>
      <c r="R56" s="198">
        <v>9</v>
      </c>
      <c r="S56" s="199">
        <v>45496</v>
      </c>
      <c r="T56" s="199">
        <v>46104</v>
      </c>
      <c r="U56" s="202"/>
      <c r="V56" s="202"/>
      <c r="W56" s="202"/>
      <c r="X56" s="199">
        <v>46104</v>
      </c>
      <c r="Y56" s="200">
        <v>120324403</v>
      </c>
      <c r="Z56" s="199"/>
      <c r="AA56" s="202"/>
      <c r="AB56" s="199" t="s">
        <v>2080</v>
      </c>
      <c r="AC56" s="35" t="s">
        <v>1549</v>
      </c>
      <c r="AD56" s="201">
        <v>82</v>
      </c>
      <c r="AE56" s="201"/>
      <c r="AF56" s="201">
        <v>1</v>
      </c>
      <c r="AG56" s="198">
        <v>503</v>
      </c>
      <c r="AH56" s="201" t="s">
        <v>1731</v>
      </c>
      <c r="AI56" s="24"/>
      <c r="AJ56" s="24"/>
      <c r="AK56" s="532" t="e">
        <f t="shared" ref="AK56:AK57" si="2">CONCATENATE(YEAR(O56)," год")</f>
        <v>#VALUE!</v>
      </c>
      <c r="AL56" s="532" t="e">
        <f t="shared" ref="AL56:AL57" si="3">CONCATENATE(YEAR(O56)," год")</f>
        <v>#VALUE!</v>
      </c>
      <c r="AM56" s="532">
        <v>0</v>
      </c>
    </row>
    <row r="57" spans="1:39" ht="31.5" x14ac:dyDescent="0.25">
      <c r="A57" s="198">
        <v>50</v>
      </c>
      <c r="B57" s="481" t="s">
        <v>2054</v>
      </c>
      <c r="C57" s="29">
        <v>45594</v>
      </c>
      <c r="D57" s="295" t="s">
        <v>1692</v>
      </c>
      <c r="E57" s="11" t="s">
        <v>2029</v>
      </c>
      <c r="F57" s="262" t="s">
        <v>2030</v>
      </c>
      <c r="G57" s="296" t="s">
        <v>2031</v>
      </c>
      <c r="H57" s="296" t="s">
        <v>2032</v>
      </c>
      <c r="I57" s="200">
        <v>5526119723</v>
      </c>
      <c r="J57" s="263">
        <v>13508.59</v>
      </c>
      <c r="K57" s="263">
        <v>10214.31</v>
      </c>
      <c r="L57" s="263">
        <v>1299</v>
      </c>
      <c r="M57" s="201">
        <v>409</v>
      </c>
      <c r="N57" s="201">
        <v>450</v>
      </c>
      <c r="O57" s="199" t="s">
        <v>1779</v>
      </c>
      <c r="P57" s="200">
        <v>176</v>
      </c>
      <c r="Q57" s="200"/>
      <c r="R57" s="198">
        <v>9</v>
      </c>
      <c r="S57" s="199">
        <v>45398</v>
      </c>
      <c r="T57" s="199">
        <v>45763</v>
      </c>
      <c r="U57" s="202"/>
      <c r="V57" s="202"/>
      <c r="W57" s="202"/>
      <c r="X57" s="199">
        <v>45763</v>
      </c>
      <c r="Y57" s="200">
        <v>49541571.840000004</v>
      </c>
      <c r="Z57" s="199"/>
      <c r="AA57" s="202"/>
      <c r="AB57" s="35" t="s">
        <v>2226</v>
      </c>
      <c r="AC57" s="35" t="s">
        <v>2306</v>
      </c>
      <c r="AD57" s="201">
        <v>84</v>
      </c>
      <c r="AE57" s="201"/>
      <c r="AF57" s="201">
        <v>1</v>
      </c>
      <c r="AG57" s="198">
        <v>502</v>
      </c>
      <c r="AH57" s="201" t="s">
        <v>1731</v>
      </c>
      <c r="AI57" s="198"/>
      <c r="AJ57" s="198"/>
      <c r="AK57" s="532" t="e">
        <f t="shared" si="2"/>
        <v>#VALUE!</v>
      </c>
      <c r="AL57" s="532" t="e">
        <f t="shared" si="3"/>
        <v>#VALUE!</v>
      </c>
      <c r="AM57" s="532">
        <v>0</v>
      </c>
    </row>
    <row r="58" spans="1:39" ht="40.5" customHeight="1" x14ac:dyDescent="0.25">
      <c r="A58" s="638" t="str">
        <f>CONCATENATE("ВСЕГО ДЕЙСТВУЮЩИЕ ГАРАНТИЙ ПО ",D65," ПРОЕКТОВ")</f>
        <v>ВСЕГО ДЕЙСТВУЮЩИЕ ГАРАНТИЙ ПО 47 ПРОЕКТОВ</v>
      </c>
      <c r="B58" s="638"/>
      <c r="C58" s="638"/>
      <c r="D58" s="638"/>
      <c r="E58" s="173"/>
      <c r="F58" s="173"/>
      <c r="G58" s="173"/>
      <c r="H58" s="173"/>
      <c r="I58" s="271">
        <f>SUMIF(ТаблицаД[Дата заключения договора о предоставлении гарантии],"&lt;&gt;на подписании",ТаблицаД[Стоимость, тенге])</f>
        <v>251587167935.47308</v>
      </c>
      <c r="J58" s="271">
        <f>SUMIF(ТаблицаД[Дата заключения договора о предоставлении гарантии],"&lt;&gt;на подписании",ТаблицаД[Площадь, кв.м по Проекту])</f>
        <v>1008141.4800000001</v>
      </c>
      <c r="K58" s="271">
        <f>SUMIF(ТаблицаД[Дата заключения договора о предоставлении гарантии],"&lt;&gt;на подписании",ТаблицаД[Площадь квартир, кв.м по Проекту])</f>
        <v>645986.49000000011</v>
      </c>
      <c r="L58" s="271">
        <f>SUMIF(ТаблицаД[Дата заключения договора о предоставлении гарантии],"&lt;&gt;на подписании",ТаблицаД[Площадь коммерческих помещений, кв.м.])</f>
        <v>63867.68</v>
      </c>
      <c r="M58" s="174"/>
      <c r="N58" s="174"/>
      <c r="O58" s="174"/>
      <c r="P58" s="174">
        <f>SUMIF(ТаблицаД[Дата заключения договора о предоставлении гарантии],"&lt;&gt;на подписании",ТаблицаД[Количество квартир по Проекту])</f>
        <v>10261</v>
      </c>
      <c r="Q58" s="174"/>
      <c r="R58" s="175"/>
      <c r="S58" s="176"/>
      <c r="T58" s="176"/>
      <c r="U58" s="176"/>
      <c r="V58" s="176"/>
      <c r="W58" s="176"/>
      <c r="X58" s="176"/>
      <c r="Y58" s="174">
        <f>SUMIF(ТаблицаД[Дата заключения договора о предоставлении гарантии],"&lt;&gt;на подписании",ТаблицаД[Гарантийный взнос, тенге])</f>
        <v>2224687249.4000001</v>
      </c>
      <c r="Z58" s="176"/>
      <c r="AA58" s="174"/>
      <c r="AB58" s="174"/>
      <c r="AC58" s="174"/>
      <c r="AD58" s="174"/>
      <c r="AE58" s="174"/>
      <c r="AF58" s="174"/>
      <c r="AG58" s="174"/>
      <c r="AH58" s="174"/>
      <c r="AM58" s="482">
        <f>SUBTOTAL(2,ТаблицаД[Статус])</f>
        <v>50</v>
      </c>
    </row>
    <row r="59" spans="1:39" ht="40.5" customHeight="1" x14ac:dyDescent="0.25">
      <c r="A59" s="648" t="str">
        <f>CONCATENATE("ИТОГО ГАРАНТИЙ ПО ",AM58," ПРОЕКТАМ")</f>
        <v>ИТОГО ГАРАНТИЙ ПО 50 ПРОЕКТАМ</v>
      </c>
      <c r="B59" s="649"/>
      <c r="C59" s="649"/>
      <c r="D59" s="649"/>
      <c r="E59" s="177"/>
      <c r="F59" s="177"/>
      <c r="G59" s="177"/>
      <c r="H59" s="177"/>
      <c r="I59" s="533">
        <f>SUM(I7:I57)</f>
        <v>274810358256.47308</v>
      </c>
      <c r="J59" s="533">
        <f>SUM(J7:J55)</f>
        <v>1017259.9800000001</v>
      </c>
      <c r="K59" s="566">
        <f>SUM(K7:K57)</f>
        <v>687224.2300000001</v>
      </c>
      <c r="L59" s="566">
        <f>SUM(L7:L57)</f>
        <v>66849.459999999992</v>
      </c>
      <c r="M59" s="204"/>
      <c r="N59" s="204"/>
      <c r="O59" s="204"/>
      <c r="P59" s="204">
        <f>SUM(P7:P55)</f>
        <v>10381</v>
      </c>
      <c r="Q59" s="204"/>
      <c r="R59" s="179"/>
      <c r="S59" s="180"/>
      <c r="T59" s="180"/>
      <c r="U59" s="180"/>
      <c r="V59" s="180"/>
      <c r="W59" s="180"/>
      <c r="X59" s="180"/>
      <c r="Y59" s="565">
        <f>SUM(Y7:Y57)</f>
        <v>2427046526.3500004</v>
      </c>
      <c r="Z59" s="180"/>
      <c r="AA59" s="178"/>
      <c r="AB59" s="178"/>
      <c r="AC59" s="178"/>
      <c r="AD59" s="178"/>
      <c r="AE59" s="178"/>
      <c r="AF59" s="178"/>
      <c r="AG59" s="178"/>
      <c r="AH59" s="181"/>
    </row>
    <row r="60" spans="1:39" s="94" customFormat="1" ht="16.5" x14ac:dyDescent="0.25">
      <c r="A60" s="182"/>
      <c r="B60" s="183"/>
      <c r="C60" s="183"/>
      <c r="D60" s="183"/>
      <c r="E60" s="183"/>
      <c r="F60" s="183"/>
      <c r="G60" s="183"/>
      <c r="H60" s="183"/>
      <c r="I60" s="205"/>
      <c r="J60" s="205"/>
      <c r="K60" s="205"/>
      <c r="L60" s="205"/>
      <c r="M60" s="206"/>
      <c r="N60" s="206"/>
      <c r="O60" s="108"/>
      <c r="P60" s="205"/>
      <c r="Q60" s="205"/>
      <c r="R60" s="183"/>
      <c r="S60" s="184"/>
      <c r="T60" s="184"/>
      <c r="U60" s="185"/>
      <c r="V60" s="185"/>
      <c r="W60" s="185"/>
      <c r="X60" s="185"/>
      <c r="Y60" s="186"/>
      <c r="Z60" s="184"/>
      <c r="AA60" s="184"/>
      <c r="AB60" s="184"/>
      <c r="AC60" s="184"/>
      <c r="AD60" s="187"/>
      <c r="AE60" s="188"/>
      <c r="AF60" s="188"/>
      <c r="AG60" s="188"/>
      <c r="AH60" s="189"/>
    </row>
    <row r="61" spans="1:39" s="94" customFormat="1" x14ac:dyDescent="0.25">
      <c r="A61" s="80"/>
      <c r="B61"/>
      <c r="C61"/>
      <c r="D61"/>
      <c r="E61"/>
      <c r="F61" s="105"/>
      <c r="G61" s="105"/>
      <c r="H61" s="105"/>
      <c r="I61" s="205"/>
      <c r="K61" s="205"/>
      <c r="L61" s="205"/>
      <c r="M61" s="207"/>
      <c r="N61" s="208"/>
      <c r="O61" s="209"/>
      <c r="P61" s="205"/>
      <c r="Q61" s="205"/>
      <c r="R61" s="49"/>
      <c r="S61" s="48"/>
      <c r="T61" s="48"/>
      <c r="U61" s="49"/>
      <c r="V61" s="49"/>
      <c r="W61" s="49"/>
      <c r="X61" s="49"/>
      <c r="Y61" s="46"/>
      <c r="Z61" s="48"/>
      <c r="AA61" s="48"/>
      <c r="AB61" s="48"/>
      <c r="AC61" s="48"/>
      <c r="AD61" s="55"/>
      <c r="AE61" s="137"/>
      <c r="AF61" s="137"/>
      <c r="AG61" s="137"/>
    </row>
    <row r="62" spans="1:39" s="94" customFormat="1" ht="41.25" thickBot="1" x14ac:dyDescent="0.3">
      <c r="A62" s="19"/>
      <c r="B62" s="17"/>
      <c r="C62" s="19"/>
      <c r="D62" s="68" t="s">
        <v>159</v>
      </c>
      <c r="E62" s="68" t="s">
        <v>1462</v>
      </c>
      <c r="F62" s="68" t="s">
        <v>1463</v>
      </c>
      <c r="G62" s="68" t="s">
        <v>1464</v>
      </c>
      <c r="H62" s="68"/>
      <c r="J62" s="71"/>
      <c r="K62" s="71"/>
      <c r="L62" s="71"/>
      <c r="M62" s="209"/>
      <c r="O62" s="210"/>
      <c r="P62" s="209"/>
      <c r="Q62" s="209"/>
      <c r="R62" s="114"/>
      <c r="S62" s="135"/>
      <c r="T62" s="71"/>
      <c r="U62" s="71"/>
      <c r="V62" s="71"/>
      <c r="W62" s="19"/>
      <c r="X62" s="71"/>
      <c r="Y62" s="71"/>
      <c r="Z62" s="19"/>
      <c r="AA62" s="19"/>
      <c r="AB62" s="19"/>
      <c r="AC62" s="19"/>
      <c r="AD62" s="71"/>
      <c r="AE62" s="137"/>
      <c r="AF62" s="137"/>
      <c r="AG62" s="137"/>
    </row>
    <row r="63" spans="1:39" ht="61.5" customHeight="1" thickBot="1" x14ac:dyDescent="0.3">
      <c r="B63" s="639" t="s">
        <v>162</v>
      </c>
      <c r="C63" s="640"/>
      <c r="D63" s="245">
        <f>D64+D65+D67</f>
        <v>243</v>
      </c>
      <c r="E63" s="245">
        <f t="shared" ref="E63:G63" si="4">E64+E65+E67</f>
        <v>1158928719933.4731</v>
      </c>
      <c r="F63" s="259">
        <f t="shared" si="4"/>
        <v>5869925.6899999985</v>
      </c>
      <c r="G63" s="245">
        <f t="shared" si="4"/>
        <v>66580</v>
      </c>
      <c r="H63" s="639" t="s">
        <v>163</v>
      </c>
      <c r="I63" s="643"/>
      <c r="J63" s="260">
        <f>J64+J65</f>
        <v>12893309686.690001</v>
      </c>
      <c r="K63" s="267"/>
      <c r="L63" s="267"/>
      <c r="M63" s="110"/>
      <c r="N63" s="50"/>
      <c r="O63" s="71"/>
      <c r="P63" s="111"/>
      <c r="Q63" s="111"/>
      <c r="R63" s="71"/>
      <c r="S63" s="140"/>
      <c r="T63" s="70"/>
      <c r="V63" s="71"/>
    </row>
    <row r="64" spans="1:39" ht="42" customHeight="1" x14ac:dyDescent="0.25">
      <c r="B64" s="641" t="s">
        <v>164</v>
      </c>
      <c r="C64" s="642"/>
      <c r="D64" s="247">
        <f>Завершенные!D223</f>
        <v>190</v>
      </c>
      <c r="E64" s="247">
        <f>Завершенные!F223</f>
        <v>891770127090</v>
      </c>
      <c r="F64" s="257">
        <f>Завершенные!E223</f>
        <v>4781059.7499999981</v>
      </c>
      <c r="G64" s="247">
        <f>Завершенные!G223</f>
        <v>55361</v>
      </c>
      <c r="H64" s="644" t="s">
        <v>165</v>
      </c>
      <c r="I64" s="645"/>
      <c r="J64" s="258">
        <f>Завершенные!Y218</f>
        <v>10668622437.290001</v>
      </c>
      <c r="K64" s="268"/>
      <c r="L64" s="268"/>
      <c r="O64" s="110"/>
      <c r="P64" s="142"/>
      <c r="Q64" s="142"/>
      <c r="R64" s="115"/>
      <c r="S64" s="72"/>
      <c r="U64" s="139"/>
    </row>
    <row r="65" spans="2:21" ht="39.75" customHeight="1" x14ac:dyDescent="0.25">
      <c r="B65" s="636" t="s">
        <v>166</v>
      </c>
      <c r="C65" s="637"/>
      <c r="D65" s="164">
        <f>COUNTIF($AM$7:$AM$57,"1")</f>
        <v>47</v>
      </c>
      <c r="E65" s="164">
        <f>I58</f>
        <v>251587167935.47308</v>
      </c>
      <c r="F65" s="239">
        <f>J58</f>
        <v>1008141.4800000001</v>
      </c>
      <c r="G65" s="164">
        <f>P58</f>
        <v>10261</v>
      </c>
      <c r="H65" s="646" t="s">
        <v>167</v>
      </c>
      <c r="I65" s="647"/>
      <c r="J65" s="253">
        <f>Y58</f>
        <v>2224687249.4000001</v>
      </c>
      <c r="K65" s="268"/>
      <c r="L65" s="268"/>
      <c r="P65" s="110"/>
      <c r="Q65" s="110"/>
      <c r="R65" s="82"/>
      <c r="S65" s="72"/>
      <c r="T65" s="71"/>
      <c r="U65" s="139"/>
    </row>
    <row r="66" spans="2:21" ht="40.5" customHeight="1" x14ac:dyDescent="0.25">
      <c r="B66" s="636" t="s">
        <v>168</v>
      </c>
      <c r="C66" s="637"/>
      <c r="D66" s="164">
        <f>'На рассмотрении'!A4</f>
        <v>0</v>
      </c>
      <c r="E66" s="164">
        <f>'На рассмотрении'!I5</f>
        <v>0</v>
      </c>
      <c r="F66" s="239">
        <f>'На рассмотрении'!K5</f>
        <v>0</v>
      </c>
      <c r="G66" s="164">
        <f>'На рассмотрении'!J5</f>
        <v>0</v>
      </c>
      <c r="H66" s="646" t="s">
        <v>169</v>
      </c>
      <c r="I66" s="647"/>
      <c r="J66" s="253" t="s">
        <v>28</v>
      </c>
      <c r="K66" s="268"/>
      <c r="L66" s="268"/>
      <c r="P66" s="71"/>
      <c r="Q66" s="71"/>
      <c r="R66" s="82"/>
      <c r="S66" s="72"/>
      <c r="U66" s="139"/>
    </row>
    <row r="67" spans="2:21" ht="39.75" customHeight="1" thickBot="1" x14ac:dyDescent="0.3">
      <c r="B67" s="634" t="s">
        <v>1468</v>
      </c>
      <c r="C67" s="635"/>
      <c r="D67" s="254">
        <v>6</v>
      </c>
      <c r="E67" s="254">
        <f>'Отказ и расторжение'!D71</f>
        <v>15571424908</v>
      </c>
      <c r="F67" s="255">
        <f>'Отказ и расторжение'!E71</f>
        <v>80724.460000000006</v>
      </c>
      <c r="G67" s="254">
        <f>'Отказ и расторжение'!F71</f>
        <v>958</v>
      </c>
      <c r="H67" s="632" t="s">
        <v>1667</v>
      </c>
      <c r="I67" s="633"/>
      <c r="J67" s="256">
        <f>'Отказ и расторжение'!N66</f>
        <v>125562115.55</v>
      </c>
      <c r="K67" s="268"/>
      <c r="L67" s="268"/>
      <c r="P67" s="71"/>
      <c r="Q67" s="71"/>
      <c r="R67" s="82"/>
      <c r="S67" s="72"/>
      <c r="U67" s="139"/>
    </row>
    <row r="68" spans="2:21" ht="41.25" customHeight="1" x14ac:dyDescent="0.25">
      <c r="I68" s="71"/>
    </row>
    <row r="69" spans="2:21" ht="56.25" customHeight="1" x14ac:dyDescent="0.25">
      <c r="B69" s="151" t="s">
        <v>1188</v>
      </c>
      <c r="C69" s="152" t="s">
        <v>159</v>
      </c>
      <c r="D69" s="152" t="s">
        <v>1462</v>
      </c>
      <c r="E69" s="152" t="s">
        <v>1463</v>
      </c>
      <c r="F69" s="152" t="s">
        <v>1464</v>
      </c>
      <c r="M69" s="71"/>
    </row>
    <row r="70" spans="2:21" ht="32.25" customHeight="1" x14ac:dyDescent="0.25">
      <c r="B70" s="534" t="s">
        <v>1149</v>
      </c>
      <c r="C70" s="164">
        <f>COUNTIF($AK$7:$AK$54,B70)</f>
        <v>2</v>
      </c>
      <c r="D70" s="164">
        <f>SUMIF($AL$7:$AL$55,$B70,$I$7:$I$55)</f>
        <v>22006871432</v>
      </c>
      <c r="E70" s="239">
        <f>SUMIF($AL$7:$AL$55,$B70,$J$7:$J$55)</f>
        <v>100781.58</v>
      </c>
      <c r="F70" s="164">
        <f>SUMIF($AL$7:$AL$55,$B70,$P$7:$P$55)</f>
        <v>950</v>
      </c>
    </row>
    <row r="71" spans="2:21" ht="27" customHeight="1" x14ac:dyDescent="0.25">
      <c r="B71" s="534" t="s">
        <v>1150</v>
      </c>
      <c r="C71" s="164">
        <f>COUNTIF($AK$7:$AK$54,B71)</f>
        <v>3</v>
      </c>
      <c r="D71" s="164">
        <f>SUMIF($AL$7:$AL$55,$B71,$I$7:$I$55)</f>
        <v>9948161748</v>
      </c>
      <c r="E71" s="239">
        <f>SUMIF($AL$7:$AL$55,$B71,$J$7:$J$55)</f>
        <v>51188.829999999994</v>
      </c>
      <c r="F71" s="567">
        <f>SUMIF($AL$7:$AL$57,$B71,$P$7:$P$57)</f>
        <v>455</v>
      </c>
      <c r="M71" s="473"/>
      <c r="N71" s="205"/>
      <c r="P71" s="474"/>
      <c r="Q71" s="474"/>
      <c r="R71" s="475"/>
    </row>
    <row r="72" spans="2:21" ht="27.75" customHeight="1" x14ac:dyDescent="0.25">
      <c r="B72" s="534" t="s">
        <v>1289</v>
      </c>
      <c r="C72" s="164">
        <f>COUNTIF($AK$7:$AK$54,B72)</f>
        <v>17</v>
      </c>
      <c r="D72" s="164">
        <f>SUMIF($AL$7:$AL$55,$B72,$I$7:$I$55)</f>
        <v>87536010629.473099</v>
      </c>
      <c r="E72" s="239">
        <f>SUMIF($AL$7:$AL$55,$B72,$J$7:$J$55)</f>
        <v>343001.63</v>
      </c>
      <c r="F72" s="164">
        <f>SUMIF($AL$7:$AL$55,$B72,$P$7:$P$55)</f>
        <v>3637</v>
      </c>
      <c r="M72" s="476"/>
      <c r="N72" s="49"/>
      <c r="P72" s="474"/>
      <c r="Q72" s="474"/>
      <c r="R72" s="475"/>
    </row>
    <row r="73" spans="2:21" ht="27.75" customHeight="1" x14ac:dyDescent="0.25">
      <c r="B73" s="534" t="s">
        <v>1679</v>
      </c>
      <c r="C73" s="164">
        <f>COUNTIF($AK$7:$AK$54,B73)</f>
        <v>25</v>
      </c>
      <c r="D73" s="164">
        <f>SUMIF($AL$7:$AL$55,$B73,$I$7:$I$55)</f>
        <v>132096124126</v>
      </c>
      <c r="E73" s="239">
        <f>SUMIF($AL$7:$AL$55,$B73,$J$7:$J$55)</f>
        <v>513169.43999999994</v>
      </c>
      <c r="F73" s="164">
        <f>SUMIF($AL$7:$AL$55,$B73,$P$7:$P$55)</f>
        <v>5219</v>
      </c>
      <c r="M73" s="476"/>
      <c r="N73" s="55"/>
      <c r="P73" s="48"/>
      <c r="Q73" s="48"/>
      <c r="R73" s="475"/>
    </row>
    <row r="74" spans="2:21" ht="27.75" customHeight="1" x14ac:dyDescent="0.25">
      <c r="B74" s="109" t="s">
        <v>18</v>
      </c>
      <c r="C74" s="69">
        <f>SUM(C70:C73)</f>
        <v>47</v>
      </c>
      <c r="D74" s="69">
        <f>SUM(D70:D73)</f>
        <v>251587167935.47308</v>
      </c>
      <c r="E74" s="69">
        <f t="shared" ref="E74:F74" si="5">SUM(E70:E73)</f>
        <v>1008141.48</v>
      </c>
      <c r="F74" s="69">
        <f t="shared" si="5"/>
        <v>10261</v>
      </c>
      <c r="M74" s="476"/>
      <c r="N74" s="55"/>
      <c r="P74" s="48"/>
      <c r="Q74" s="48"/>
      <c r="R74" s="475"/>
    </row>
    <row r="75" spans="2:21" x14ac:dyDescent="0.25">
      <c r="I75" s="45"/>
      <c r="J75" s="49"/>
      <c r="K75" s="205"/>
      <c r="L75" s="205"/>
      <c r="M75" s="476"/>
      <c r="N75" s="205"/>
      <c r="P75" s="48"/>
      <c r="Q75" s="48"/>
      <c r="R75" s="475"/>
    </row>
    <row r="76" spans="2:21" x14ac:dyDescent="0.25">
      <c r="I76" s="45"/>
      <c r="J76" s="49"/>
      <c r="K76" s="205"/>
      <c r="L76" s="205"/>
      <c r="M76" s="476"/>
      <c r="N76" s="205"/>
      <c r="P76" s="48"/>
      <c r="Q76" s="48"/>
      <c r="R76" s="475"/>
    </row>
    <row r="77" spans="2:21" ht="60.75" x14ac:dyDescent="0.25">
      <c r="B77" s="151" t="s">
        <v>1765</v>
      </c>
      <c r="C77" s="152" t="s">
        <v>159</v>
      </c>
      <c r="D77" s="152" t="s">
        <v>1462</v>
      </c>
      <c r="E77" s="152" t="s">
        <v>1463</v>
      </c>
      <c r="F77" s="152" t="s">
        <v>1464</v>
      </c>
      <c r="R77" s="475"/>
    </row>
    <row r="78" spans="2:21" ht="19.5" x14ac:dyDescent="0.25">
      <c r="B78" s="167" t="s">
        <v>1179</v>
      </c>
      <c r="C78" s="164">
        <f>SUMIFS(ТаблицаД[Статус],ТаблицаД[Регион
Кол-во],$B78,ТаблицаД[Дата заключения договора о предоставлении гарантии],"&lt;&gt;на подписании")</f>
        <v>22</v>
      </c>
      <c r="D78" s="164">
        <f>SUMIFS(ТаблицаД[Стоимость, тенге],ТаблицаД[Регион
Ст-ть],$B78,ТаблицаД[Дата заключения договора о предоставлении гарантии],"&lt;&gt;на подписании")</f>
        <v>156376192921.47308</v>
      </c>
      <c r="E78" s="164">
        <f>SUMIFS(ТаблицаД[Площадь, кв.м по Проекту],ТаблицаД[Регион
Ст-ть],$B78,ТаблицаД[Дата заключения договора о предоставлении гарантии],"&lt;&gt;на подписании")</f>
        <v>648870.06999999995</v>
      </c>
      <c r="F78" s="164">
        <f>SUMIFS(ТаблицаД[Количество квартир по Проекту],ТаблицаД[Регион
Ст-ть],$B78,ТаблицаД[Дата заключения договора о предоставлении гарантии],"&lt;&gt;на подписании")</f>
        <v>6024</v>
      </c>
      <c r="R78" s="475"/>
    </row>
    <row r="79" spans="2:21" ht="19.5" x14ac:dyDescent="0.25">
      <c r="B79" s="167" t="s">
        <v>23</v>
      </c>
      <c r="C79" s="164">
        <f>SUMIFS(ТаблицаД[Статус],ТаблицаД[Регион
Кол-во],$B79,ТаблицаД[Дата заключения договора о предоставлении гарантии],"&lt;&gt;на подписании")</f>
        <v>3</v>
      </c>
      <c r="D79" s="164">
        <f>SUMIFS(ТаблицаД[Стоимость, тенге],ТаблицаД[Регион
Ст-ть],$B79,ТаблицаД[Дата заключения договора о предоставлении гарантии],"&lt;&gt;на подписании")</f>
        <v>21416231301</v>
      </c>
      <c r="E79" s="164">
        <f>SUMIFS(ТаблицаД[Площадь, кв.м по Проекту],ТаблицаД[Регион
Ст-ть],$B79,ТаблицаД[Дата заключения договора о предоставлении гарантии],"&lt;&gt;на подписании")</f>
        <v>66873.38</v>
      </c>
      <c r="F79" s="164">
        <f>SUMIFS(ТаблицаД[Количество квартир по Проекту],ТаблицаД[Регион
Ст-ть],$B79,ТаблицаД[Дата заключения договора о предоставлении гарантии],"&lt;&gt;на подписании")</f>
        <v>784</v>
      </c>
      <c r="R79" s="475"/>
    </row>
    <row r="80" spans="2:21" ht="19.5" x14ac:dyDescent="0.25">
      <c r="B80" s="167" t="s">
        <v>1843</v>
      </c>
      <c r="C80" s="164">
        <f>SUMIFS(ТаблицаД[Статус],ТаблицаД[Регион
Кол-во],$B80,ТаблицаД[Дата заключения договора о предоставлении гарантии],"&lt;&gt;на подписании")</f>
        <v>1</v>
      </c>
      <c r="D80" s="164">
        <f>SUMIFS(ТаблицаД[Стоимость, тенге],ТаблицаД[Регион
Ст-ть],$B80,ТаблицаД[Дата заключения договора о предоставлении гарантии],"&lt;&gt;на подписании")</f>
        <v>4916104675</v>
      </c>
      <c r="E80" s="164">
        <f>SUMIFS(ТаблицаД[Площадь, кв.м по Проекту],ТаблицаД[Регион
Ст-ть],$B80,ТаблицаД[Дата заключения договора о предоставлении гарантии],"&lt;&gt;на подписании")</f>
        <v>15148.34</v>
      </c>
      <c r="F80" s="164">
        <f>SUMIFS(ТаблицаД[Количество квартир по Проекту],ТаблицаД[Регион
Ст-ть],$B80,ТаблицаД[Дата заключения договора о предоставлении гарантии],"&lt;&gt;на подписании")</f>
        <v>216</v>
      </c>
      <c r="R80" s="475"/>
    </row>
    <row r="81" spans="2:18" ht="19.5" x14ac:dyDescent="0.25">
      <c r="B81" s="167" t="s">
        <v>174</v>
      </c>
      <c r="C81" s="164">
        <f>SUMIFS(ТаблицаД[Статус],ТаблицаД[Регион
Кол-во],$B81,ТаблицаД[Дата заключения договора о предоставлении гарантии],"&lt;&gt;на подписании")</f>
        <v>6</v>
      </c>
      <c r="D81" s="164">
        <f>SUMIFS(ТаблицаД[Стоимость, тенге],ТаблицаД[Регион
Ст-ть],$B81,ТаблицаД[Дата заключения договора о предоставлении гарантии],"&lt;&gt;на подписании")</f>
        <v>34243880085</v>
      </c>
      <c r="E81" s="164">
        <f>SUMIFS(ТаблицаД[Площадь, кв.м по Проекту],ТаблицаД[Регион
Ст-ть],$B81,ТаблицаД[Дата заключения договора о предоставлении гарантии],"&lt;&gt;на подписании")</f>
        <v>98975.48</v>
      </c>
      <c r="F81" s="164">
        <f>SUMIFS(ТаблицаД[Количество квартир по Проекту],ТаблицаД[Регион
Ст-ть],$B81,ТаблицаД[Дата заключения договора о предоставлении гарантии],"&lt;&gt;на подписании")</f>
        <v>1089</v>
      </c>
      <c r="R81" s="475"/>
    </row>
    <row r="82" spans="2:18" ht="19.5" x14ac:dyDescent="0.25">
      <c r="B82" s="167" t="s">
        <v>212</v>
      </c>
      <c r="C82" s="164">
        <f>SUMIFS(ТаблицаД[Статус],ТаблицаД[Регион
Кол-во],$B82,ТаблицаД[Дата заключения договора о предоставлении гарантии],"&lt;&gt;на подписании")</f>
        <v>0</v>
      </c>
      <c r="D82" s="164">
        <f>SUMIFS(ТаблицаД[Стоимость, тенге],ТаблицаД[Регион
Ст-ть],$B82,ТаблицаД[Дата заключения договора о предоставлении гарантии],"&lt;&gt;на подписании")</f>
        <v>0</v>
      </c>
      <c r="E82" s="164">
        <f>SUMIFS(ТаблицаД[Площадь, кв.м по Проекту],ТаблицаД[Регион
Ст-ть],$B82,ТаблицаД[Дата заключения договора о предоставлении гарантии],"&lt;&gt;на подписании")</f>
        <v>0</v>
      </c>
      <c r="F82" s="164">
        <f>SUMIFS(ТаблицаД[Количество квартир по Проекту],ТаблицаД[Регион
Ст-ть],$B82,ТаблицаД[Дата заключения договора о предоставлении гарантии],"&lt;&gt;на подписании")</f>
        <v>0</v>
      </c>
      <c r="R82" s="475"/>
    </row>
    <row r="83" spans="2:18" ht="19.5" x14ac:dyDescent="0.25">
      <c r="B83" s="167" t="s">
        <v>175</v>
      </c>
      <c r="C83" s="164">
        <f>SUMIFS(ТаблицаД[Статус],ТаблицаД[Регион
Кол-во],$B83,ТаблицаД[Дата заключения договора о предоставлении гарантии],"&lt;&gt;на подписании")</f>
        <v>1</v>
      </c>
      <c r="D83" s="164">
        <f>SUMIFS(ТаблицаД[Стоимость, тенге],ТаблицаД[Регион
Ст-ть],$B83,ТаблицаД[Дата заключения договора о предоставлении гарантии],"&lt;&gt;на подписании")</f>
        <v>1886723001</v>
      </c>
      <c r="E83" s="164">
        <f>SUMIFS(ТаблицаД[Площадь, кв.м по Проекту],ТаблицаД[Регион
Ст-ть],$B83,ТаблицаД[Дата заключения договора о предоставлении гарантии],"&lt;&gt;на подписании")</f>
        <v>10334</v>
      </c>
      <c r="F83" s="164">
        <f>SUMIFS(ТаблицаД[Количество квартир по Проекту],ТаблицаД[Регион
Ст-ть],$B83,ТаблицаД[Дата заключения договора о предоставлении гарантии],"&lt;&gt;на подписании")</f>
        <v>150</v>
      </c>
      <c r="R83" s="475"/>
    </row>
    <row r="84" spans="2:18" ht="19.5" x14ac:dyDescent="0.25">
      <c r="B84" s="167" t="s">
        <v>760</v>
      </c>
      <c r="C84" s="164">
        <f>SUMIFS(ТаблицаД[Статус],ТаблицаД[Регион
Кол-во],$B84,ТаблицаД[Дата заключения договора о предоставлении гарантии],"&lt;&gt;на подписании")</f>
        <v>4</v>
      </c>
      <c r="D84" s="164">
        <f>SUMIFS(ТаблицаД[Стоимость, тенге],ТаблицаД[Регион
Ст-ть],$B84,ТаблицаД[Дата заключения договора о предоставлении гарантии],"&lt;&gt;на подписании")</f>
        <v>7085271168</v>
      </c>
      <c r="E84" s="164">
        <f>SUMIFS(ТаблицаД[Площадь, кв.м по Проекту],ТаблицаД[Регион
Ст-ть],$B84,ТаблицаД[Дата заключения договора о предоставлении гарантии],"&lt;&gt;на подписании")</f>
        <v>23982.18</v>
      </c>
      <c r="F84" s="164">
        <f>SUMIFS(ТаблицаД[Количество квартир по Проекту],ТаблицаД[Регион
Ст-ть],$B84,ТаблицаД[Дата заключения договора о предоставлении гарантии],"&lt;&gt;на подписании")</f>
        <v>216</v>
      </c>
      <c r="R84" s="475"/>
    </row>
    <row r="85" spans="2:18" ht="19.5" x14ac:dyDescent="0.25">
      <c r="B85" s="167" t="s">
        <v>369</v>
      </c>
      <c r="C85" s="164">
        <f>SUMIFS(ТаблицаД[Статус],ТаблицаД[Регион
Кол-во],$B85,ТаблицаД[Дата заключения договора о предоставлении гарантии],"&lt;&gt;на подписании")</f>
        <v>1</v>
      </c>
      <c r="D85" s="164">
        <f>SUMIFS(ТаблицаД[Стоимость, тенге],ТаблицаД[Регион
Ст-ть],$B85,ТаблицаД[Дата заключения договора о предоставлении гарантии],"&lt;&gt;на подписании")</f>
        <v>7324207552</v>
      </c>
      <c r="E85" s="164">
        <f>SUMIFS(ТаблицаД[Площадь, кв.м по Проекту],ТаблицаД[Регион
Ст-ть],$B85,ТаблицаД[Дата заключения договора о предоставлении гарантии],"&lt;&gt;на подписании")</f>
        <v>48244.78</v>
      </c>
      <c r="F85" s="164">
        <f>SUMIFS(ТаблицаД[Количество квартир по Проекту],ТаблицаД[Регион
Ст-ть],$B85,ТаблицаД[Дата заключения договора о предоставлении гарантии],"&lt;&gt;на подписании")</f>
        <v>560</v>
      </c>
      <c r="R85" s="475"/>
    </row>
    <row r="86" spans="2:18" ht="19.5" x14ac:dyDescent="0.25">
      <c r="B86" s="167" t="s">
        <v>176</v>
      </c>
      <c r="C86" s="164">
        <f>SUMIFS(ТаблицаД[Статус],ТаблицаД[Регион
Кол-во],$B86,ТаблицаД[Дата заключения договора о предоставлении гарантии],"&lt;&gt;на подписании")</f>
        <v>1</v>
      </c>
      <c r="D86" s="164">
        <f>SUMIFS(ТаблицаД[Стоимость, тенге],ТаблицаД[Регион
Ст-ть],$B86,ТаблицаД[Дата заключения договора о предоставлении гарантии],"&lt;&gt;на подписании")</f>
        <v>3595425509</v>
      </c>
      <c r="E86" s="164">
        <f>SUMIFS(ТаблицаД[Площадь, кв.м по Проекту],ТаблицаД[Регион
Ст-ть],$B86,ТаблицаД[Дата заключения договора о предоставлении гарантии],"&lt;&gt;на подписании")</f>
        <v>25056.9</v>
      </c>
      <c r="F86" s="164">
        <f>SUMIFS(ТаблицаД[Количество квартир по Проекту],ТаблицаД[Регион
Ст-ть],$B86,ТаблицаД[Дата заключения договора о предоставлении гарантии],"&lt;&gt;на подписании")</f>
        <v>240</v>
      </c>
      <c r="R86" s="475"/>
    </row>
    <row r="87" spans="2:18" ht="19.5" x14ac:dyDescent="0.25">
      <c r="B87" s="167" t="s">
        <v>452</v>
      </c>
      <c r="C87" s="164">
        <f>SUMIFS(ТаблицаД[Статус],ТаблицаД[Регион
Кол-во],$B87,ТаблицаД[Дата заключения договора о предоставлении гарантии],"&lt;&gt;на подписании")</f>
        <v>3</v>
      </c>
      <c r="D87" s="164">
        <f>SUMIFS(ТаблицаД[Стоимость, тенге],ТаблицаД[Регион
Ст-ть],$B87,ТаблицаД[Дата заключения договора о предоставлении гарантии],"&lt;&gt;на подписании")</f>
        <v>6061167137</v>
      </c>
      <c r="E87" s="164">
        <f>SUMIFS(ТаблицаД[Площадь, кв.м по Проекту],ТаблицаД[Регион
Ст-ть],$B87,ТаблицаД[Дата заключения договора о предоставлении гарантии],"&lt;&gt;на подписании")</f>
        <v>30854.28</v>
      </c>
      <c r="F87" s="164">
        <f>SUMIFS(ТаблицаД[Количество квартир по Проекту],ТаблицаД[Регион
Ст-ть],$B87,ТаблицаД[Дата заключения договора о предоставлении гарантии],"&lt;&gt;на подписании")</f>
        <v>343</v>
      </c>
      <c r="R87" s="475"/>
    </row>
    <row r="88" spans="2:18" ht="19.5" x14ac:dyDescent="0.25">
      <c r="B88" s="167" t="s">
        <v>1835</v>
      </c>
      <c r="C88" s="164">
        <f>SUMIFS(ТаблицаД[Статус],ТаблицаД[Регион
Кол-во],$B88,ТаблицаД[Дата заключения договора о предоставлении гарантии],"&lt;&gt;на подписании")</f>
        <v>5</v>
      </c>
      <c r="D88" s="164">
        <f>SUMIFS(ТаблицаД[Стоимость, тенге],ТаблицаД[Регион
Ст-ть],$B88,ТаблицаД[Дата заключения договора о предоставлении гарантии],"&lt;&gt;на подписании")</f>
        <v>8681964586</v>
      </c>
      <c r="E88" s="164">
        <f>SUMIFS(ТаблицаД[Площадь, кв.м по Проекту],ТаблицаД[Регион
Ст-ть],$B88,ТаблицаД[Дата заключения договора о предоставлении гарантии],"&lt;&gt;на подписании")</f>
        <v>39802.070000000007</v>
      </c>
      <c r="F88" s="164">
        <f>SUMIFS(ТаблицаД[Количество квартир по Проекту],ТаблицаД[Регион
Ст-ть],$B88,ТаблицаД[Дата заключения договора о предоставлении гарантии],"&lt;&gt;на подписании")</f>
        <v>639</v>
      </c>
    </row>
    <row r="89" spans="2:18" ht="20.25" x14ac:dyDescent="0.25">
      <c r="B89" s="535" t="s">
        <v>18</v>
      </c>
      <c r="C89" s="69">
        <f>SUM(C78:C88)</f>
        <v>47</v>
      </c>
      <c r="D89" s="69">
        <f t="shared" ref="D89:F89" si="6">SUM(D78:D88)</f>
        <v>251587167935.47308</v>
      </c>
      <c r="E89" s="69">
        <f t="shared" si="6"/>
        <v>1008141.48</v>
      </c>
      <c r="F89" s="69">
        <f t="shared" si="6"/>
        <v>10261</v>
      </c>
    </row>
    <row r="90" spans="2:18" hidden="1" x14ac:dyDescent="0.25">
      <c r="C90" s="536" t="b">
        <f>C74=C89</f>
        <v>1</v>
      </c>
      <c r="D90" s="536" t="b">
        <f t="shared" ref="D90:F90" si="7">D74=D89</f>
        <v>1</v>
      </c>
      <c r="E90" s="536" t="b">
        <f t="shared" si="7"/>
        <v>1</v>
      </c>
      <c r="F90" s="536" t="b">
        <f t="shared" si="7"/>
        <v>1</v>
      </c>
    </row>
    <row r="94" spans="2:18" ht="69.75" hidden="1" x14ac:dyDescent="0.25">
      <c r="B94" s="151" t="s">
        <v>1766</v>
      </c>
      <c r="C94" s="152" t="s">
        <v>159</v>
      </c>
      <c r="D94" s="152" t="s">
        <v>171</v>
      </c>
      <c r="E94" s="152" t="s">
        <v>172</v>
      </c>
      <c r="F94" s="152" t="s">
        <v>1469</v>
      </c>
    </row>
    <row r="95" spans="2:18" ht="19.5" hidden="1" x14ac:dyDescent="0.25">
      <c r="B95" s="167" t="s">
        <v>1179</v>
      </c>
      <c r="C95" s="164" t="e">
        <f t="shared" ref="C95:C103" si="8">SUM(D95:F95)</f>
        <v>#REF!</v>
      </c>
      <c r="D95" s="164">
        <f>Завершенные!C237</f>
        <v>104</v>
      </c>
      <c r="E95" s="164" t="e">
        <f>#REF!</f>
        <v>#REF!</v>
      </c>
      <c r="F95" s="164">
        <v>1</v>
      </c>
      <c r="I95" s="139"/>
    </row>
    <row r="96" spans="2:18" ht="19.5" hidden="1" x14ac:dyDescent="0.25">
      <c r="B96" s="167" t="s">
        <v>23</v>
      </c>
      <c r="C96" s="164" t="e">
        <f t="shared" si="8"/>
        <v>#REF!</v>
      </c>
      <c r="D96" s="164">
        <f>Завершенные!C238</f>
        <v>49</v>
      </c>
      <c r="E96" s="164" t="e">
        <f>#REF!</f>
        <v>#REF!</v>
      </c>
      <c r="F96" s="164"/>
      <c r="I96" s="139"/>
    </row>
    <row r="97" spans="2:9" ht="19.5" hidden="1" x14ac:dyDescent="0.25">
      <c r="B97" s="167" t="s">
        <v>173</v>
      </c>
      <c r="C97" s="164" t="e">
        <f t="shared" si="8"/>
        <v>#REF!</v>
      </c>
      <c r="D97" s="164">
        <f>Завершенные!C239</f>
        <v>9</v>
      </c>
      <c r="E97" s="164" t="e">
        <f>#REF!</f>
        <v>#REF!</v>
      </c>
      <c r="F97" s="164">
        <v>2</v>
      </c>
      <c r="I97" s="139"/>
    </row>
    <row r="98" spans="2:9" ht="19.5" hidden="1" x14ac:dyDescent="0.25">
      <c r="B98" s="167" t="s">
        <v>174</v>
      </c>
      <c r="C98" s="164" t="e">
        <f t="shared" si="8"/>
        <v>#REF!</v>
      </c>
      <c r="D98" s="164">
        <f>Завершенные!C241</f>
        <v>16</v>
      </c>
      <c r="E98" s="164" t="e">
        <f>#REF!</f>
        <v>#REF!</v>
      </c>
      <c r="F98" s="164">
        <v>1</v>
      </c>
      <c r="I98" s="139"/>
    </row>
    <row r="99" spans="2:9" ht="19.5" hidden="1" x14ac:dyDescent="0.25">
      <c r="B99" s="167" t="s">
        <v>175</v>
      </c>
      <c r="C99" s="164" t="e">
        <f t="shared" si="8"/>
        <v>#REF!</v>
      </c>
      <c r="D99" s="164">
        <f>Завершенные!C240</f>
        <v>2</v>
      </c>
      <c r="E99" s="164" t="e">
        <f>#REF!</f>
        <v>#REF!</v>
      </c>
      <c r="F99" s="164"/>
      <c r="I99" s="139"/>
    </row>
    <row r="100" spans="2:9" ht="19.5" hidden="1" x14ac:dyDescent="0.25">
      <c r="B100" s="167" t="s">
        <v>212</v>
      </c>
      <c r="C100" s="164" t="e">
        <f t="shared" si="8"/>
        <v>#REF!</v>
      </c>
      <c r="D100" s="164">
        <f>Завершенные!C242</f>
        <v>1</v>
      </c>
      <c r="E100" s="164" t="e">
        <f>#REF!</f>
        <v>#REF!</v>
      </c>
      <c r="F100" s="164"/>
      <c r="I100" s="139"/>
    </row>
    <row r="101" spans="2:9" ht="19.5" hidden="1" x14ac:dyDescent="0.25">
      <c r="B101" s="167" t="s">
        <v>369</v>
      </c>
      <c r="C101" s="164" t="e">
        <f t="shared" si="8"/>
        <v>#REF!</v>
      </c>
      <c r="D101" s="164">
        <f>Завершенные!C243</f>
        <v>1</v>
      </c>
      <c r="E101" s="164" t="e">
        <f>#REF!</f>
        <v>#REF!</v>
      </c>
      <c r="F101" s="164">
        <v>1</v>
      </c>
      <c r="I101" s="139"/>
    </row>
    <row r="102" spans="2:9" ht="19.5" hidden="1" x14ac:dyDescent="0.25">
      <c r="B102" s="167" t="s">
        <v>176</v>
      </c>
      <c r="C102" s="164" t="e">
        <f t="shared" si="8"/>
        <v>#REF!</v>
      </c>
      <c r="D102" s="164">
        <f>Завершенные!C244</f>
        <v>5</v>
      </c>
      <c r="E102" s="164" t="e">
        <f>#REF!</f>
        <v>#REF!</v>
      </c>
      <c r="F102" s="164"/>
      <c r="I102" s="139"/>
    </row>
    <row r="103" spans="2:9" ht="19.5" hidden="1" x14ac:dyDescent="0.25">
      <c r="B103" s="167" t="s">
        <v>452</v>
      </c>
      <c r="C103" s="164" t="e">
        <f t="shared" si="8"/>
        <v>#REF!</v>
      </c>
      <c r="D103" s="164">
        <f>Завершенные!C245</f>
        <v>2</v>
      </c>
      <c r="E103" s="164" t="e">
        <f>#REF!</f>
        <v>#REF!</v>
      </c>
      <c r="F103" s="164"/>
      <c r="H103" s="71"/>
      <c r="I103" s="139"/>
    </row>
    <row r="104" spans="2:9" ht="19.5" hidden="1" x14ac:dyDescent="0.25">
      <c r="B104" s="167" t="s">
        <v>1743</v>
      </c>
      <c r="C104" s="164"/>
      <c r="D104" s="164"/>
      <c r="E104" s="164"/>
      <c r="F104" s="164">
        <v>0</v>
      </c>
      <c r="H104" s="71"/>
      <c r="I104" s="139"/>
    </row>
    <row r="105" spans="2:9" ht="19.5" hidden="1" x14ac:dyDescent="0.25">
      <c r="B105" s="167" t="s">
        <v>463</v>
      </c>
      <c r="C105" s="164" t="e">
        <f>SUM(D105:F105)</f>
        <v>#REF!</v>
      </c>
      <c r="D105" s="164">
        <f>Завершенные!C246</f>
        <v>1</v>
      </c>
      <c r="E105" s="164" t="e">
        <f>#REF!</f>
        <v>#REF!</v>
      </c>
      <c r="F105" s="164"/>
      <c r="I105" s="139"/>
    </row>
    <row r="106" spans="2:9" ht="19.5" hidden="1" x14ac:dyDescent="0.25">
      <c r="B106" s="167" t="s">
        <v>1167</v>
      </c>
      <c r="C106" s="164" t="e">
        <f>SUM(D106:F106)</f>
        <v>#REF!</v>
      </c>
      <c r="D106" s="164"/>
      <c r="E106" s="164" t="e">
        <f>#REF!</f>
        <v>#REF!</v>
      </c>
      <c r="F106" s="164">
        <v>1</v>
      </c>
      <c r="H106" s="71"/>
      <c r="I106" s="139"/>
    </row>
    <row r="107" spans="2:9" ht="20.25" hidden="1" x14ac:dyDescent="0.25">
      <c r="B107" s="192" t="s">
        <v>18</v>
      </c>
      <c r="C107" s="166" t="e">
        <f>SUM(C95:C106)</f>
        <v>#REF!</v>
      </c>
      <c r="D107" s="166">
        <f>SUM(D95:D106)</f>
        <v>190</v>
      </c>
      <c r="E107" s="166" t="e">
        <f>SUM(E95:E106)</f>
        <v>#REF!</v>
      </c>
      <c r="F107" s="166">
        <f>SUM(F95:F106)</f>
        <v>6</v>
      </c>
      <c r="H107" s="139"/>
    </row>
    <row r="108" spans="2:9" hidden="1" x14ac:dyDescent="0.25"/>
    <row r="109" spans="2:9" hidden="1" x14ac:dyDescent="0.25">
      <c r="I109" s="71"/>
    </row>
    <row r="110" spans="2:9" hidden="1" x14ac:dyDescent="0.25">
      <c r="C110" s="71"/>
      <c r="D110" s="71"/>
    </row>
    <row r="114" spans="5:8" x14ac:dyDescent="0.25">
      <c r="E114" s="71"/>
      <c r="F114" s="71"/>
      <c r="G114" s="71"/>
      <c r="H114" s="71"/>
    </row>
  </sheetData>
  <sheetProtection formatCells="0" formatColumns="0" formatRows="0" insertColumns="0" insertRows="0" insertHyperlinks="0" deleteColumns="0" deleteRows="0" sort="0" autoFilter="0" pivotTables="0"/>
  <mergeCells count="12">
    <mergeCell ref="H67:I67"/>
    <mergeCell ref="B67:C67"/>
    <mergeCell ref="B66:C66"/>
    <mergeCell ref="A58:D58"/>
    <mergeCell ref="B63:C63"/>
    <mergeCell ref="B64:C64"/>
    <mergeCell ref="B65:C65"/>
    <mergeCell ref="H63:I63"/>
    <mergeCell ref="H64:I64"/>
    <mergeCell ref="H65:I65"/>
    <mergeCell ref="H66:I66"/>
    <mergeCell ref="A59:D59"/>
  </mergeCells>
  <pageMargins left="0.23622047244094491" right="0.15748031496062992" top="0.43307086614173229" bottom="0.47244094488188981" header="0.31496062992125984" footer="0.31496062992125984"/>
  <pageSetup paperSize="9" scale="18" fitToHeight="0" orientation="landscape" r:id="rId1"/>
  <headerFooter>
    <oddFooter>&amp;C&amp;P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48"/>
  <sheetViews>
    <sheetView tabSelected="1" view="pageBreakPreview" topLeftCell="L51" zoomScaleNormal="25" zoomScaleSheetLayoutView="100" zoomScalePageLayoutView="10" workbookViewId="0">
      <selection activeCell="Z63" sqref="Z63"/>
    </sheetView>
  </sheetViews>
  <sheetFormatPr defaultColWidth="9.28515625" defaultRowHeight="15.75" outlineLevelCol="1" x14ac:dyDescent="0.25"/>
  <cols>
    <col min="1" max="1" width="5.7109375" style="19" customWidth="1"/>
    <col min="2" max="2" width="48.42578125" style="19" customWidth="1"/>
    <col min="3" max="3" width="20" style="19" customWidth="1"/>
    <col min="4" max="4" width="29.28515625" style="19" customWidth="1"/>
    <col min="5" max="5" width="31.7109375" style="19" customWidth="1"/>
    <col min="6" max="6" width="24.7109375" style="19" customWidth="1"/>
    <col min="7" max="7" width="32.140625" style="19" customWidth="1"/>
    <col min="8" max="8" width="19.85546875" style="19" customWidth="1"/>
    <col min="9" max="9" width="25.85546875" style="19" bestFit="1" customWidth="1"/>
    <col min="10" max="10" width="17.28515625" style="19" customWidth="1"/>
    <col min="11" max="11" width="15.85546875" style="19" customWidth="1"/>
    <col min="12" max="12" width="16.140625" style="19" customWidth="1"/>
    <col min="13" max="14" width="12.85546875" style="19" customWidth="1" outlineLevel="1"/>
    <col min="15" max="23" width="12.85546875" style="19" customWidth="1"/>
    <col min="24" max="24" width="16.85546875" style="19" customWidth="1"/>
    <col min="25" max="25" width="21.5703125" style="19" customWidth="1"/>
    <col min="26" max="26" width="35.7109375" style="19" customWidth="1"/>
    <col min="27" max="27" width="22.7109375" style="19" customWidth="1"/>
    <col min="28" max="28" width="19.7109375" style="19" customWidth="1"/>
    <col min="29" max="29" width="3" style="19" hidden="1" customWidth="1"/>
    <col min="30" max="30" width="12.85546875" style="19" customWidth="1"/>
    <col min="31" max="33" width="12.85546875" style="19" customWidth="1" outlineLevel="1"/>
    <col min="34" max="34" width="12.85546875" style="19" customWidth="1"/>
    <col min="35" max="36" width="12.85546875" style="19" hidden="1" customWidth="1"/>
    <col min="37" max="38" width="10.42578125" style="19" hidden="1" customWidth="1"/>
    <col min="39" max="39" width="5.42578125" style="19" hidden="1" customWidth="1"/>
    <col min="40" max="40" width="9.28515625" style="19" hidden="1" customWidth="1"/>
    <col min="41" max="41" width="9.28515625" style="19" customWidth="1"/>
    <col min="42" max="16384" width="9.28515625" style="19"/>
  </cols>
  <sheetData>
    <row r="1" spans="1:39" ht="25.5" x14ac:dyDescent="0.25">
      <c r="A1" s="40"/>
      <c r="B1" s="20" t="s">
        <v>1082</v>
      </c>
      <c r="C1" s="20"/>
      <c r="D1" s="20"/>
      <c r="E1" s="41"/>
      <c r="F1" s="41"/>
      <c r="G1" s="40" t="s">
        <v>17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</row>
    <row r="2" spans="1:39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</row>
    <row r="3" spans="1:39" ht="110.25" x14ac:dyDescent="0.25">
      <c r="A3" s="128" t="s">
        <v>0</v>
      </c>
      <c r="B3" s="21" t="s">
        <v>794</v>
      </c>
      <c r="C3" s="21" t="s">
        <v>751</v>
      </c>
      <c r="D3" s="21" t="s">
        <v>752</v>
      </c>
      <c r="E3" s="21" t="s">
        <v>749</v>
      </c>
      <c r="F3" s="21" t="s">
        <v>1618</v>
      </c>
      <c r="G3" s="21" t="s">
        <v>748</v>
      </c>
      <c r="H3" s="21" t="s">
        <v>1619</v>
      </c>
      <c r="I3" s="21" t="s">
        <v>26</v>
      </c>
      <c r="J3" s="21" t="s">
        <v>27</v>
      </c>
      <c r="K3" s="21" t="s">
        <v>2006</v>
      </c>
      <c r="L3" s="21" t="s">
        <v>2374</v>
      </c>
      <c r="M3" s="21" t="s">
        <v>2420</v>
      </c>
      <c r="N3" s="21" t="s">
        <v>2421</v>
      </c>
      <c r="O3" s="21" t="s">
        <v>56</v>
      </c>
      <c r="P3" s="21" t="s">
        <v>30</v>
      </c>
      <c r="Q3" s="21" t="s">
        <v>57</v>
      </c>
      <c r="R3" s="21" t="s">
        <v>31</v>
      </c>
      <c r="S3" s="21" t="s">
        <v>33</v>
      </c>
      <c r="T3" s="21" t="s">
        <v>34</v>
      </c>
      <c r="U3" s="21" t="s">
        <v>807</v>
      </c>
      <c r="V3" s="21" t="s">
        <v>808</v>
      </c>
      <c r="W3" s="21" t="s">
        <v>809</v>
      </c>
      <c r="X3" s="21" t="s">
        <v>2424</v>
      </c>
      <c r="Y3" s="21" t="s">
        <v>35</v>
      </c>
      <c r="Z3" s="21" t="s">
        <v>593</v>
      </c>
      <c r="AA3" s="73" t="s">
        <v>1480</v>
      </c>
      <c r="AB3" s="73" t="s">
        <v>592</v>
      </c>
      <c r="AC3" s="21" t="s">
        <v>2304</v>
      </c>
      <c r="AD3" s="568" t="s">
        <v>1546</v>
      </c>
      <c r="AE3" s="21" t="s">
        <v>1559</v>
      </c>
      <c r="AF3" s="21" t="s">
        <v>1590</v>
      </c>
      <c r="AG3" s="21" t="s">
        <v>1452</v>
      </c>
      <c r="AH3" s="21" t="s">
        <v>1719</v>
      </c>
      <c r="AI3" s="315" t="s">
        <v>2416</v>
      </c>
      <c r="AJ3" s="315" t="s">
        <v>2417</v>
      </c>
      <c r="AK3" s="315" t="s">
        <v>2418</v>
      </c>
      <c r="AL3" s="315" t="s">
        <v>2419</v>
      </c>
      <c r="AM3" s="315" t="s">
        <v>2230</v>
      </c>
    </row>
    <row r="4" spans="1:39" x14ac:dyDescent="0.25">
      <c r="A4" s="574">
        <v>1</v>
      </c>
      <c r="B4" s="621" t="s">
        <v>978</v>
      </c>
      <c r="C4" s="100">
        <v>42870</v>
      </c>
      <c r="D4" s="578" t="s">
        <v>1179</v>
      </c>
      <c r="E4" s="579" t="s">
        <v>716</v>
      </c>
      <c r="F4" s="580">
        <v>960340000376</v>
      </c>
      <c r="G4" s="579" t="s">
        <v>980</v>
      </c>
      <c r="H4" s="581" t="s">
        <v>2181</v>
      </c>
      <c r="I4" s="98">
        <v>2516814000</v>
      </c>
      <c r="J4" s="240">
        <v>14000</v>
      </c>
      <c r="K4" s="240"/>
      <c r="L4" s="240"/>
      <c r="M4" s="240"/>
      <c r="N4" s="240"/>
      <c r="O4" s="112">
        <v>42873</v>
      </c>
      <c r="P4" s="54">
        <v>178</v>
      </c>
      <c r="Q4" s="54">
        <v>178</v>
      </c>
      <c r="R4" s="54">
        <v>24</v>
      </c>
      <c r="S4" s="112">
        <v>42513</v>
      </c>
      <c r="T4" s="112">
        <v>43519</v>
      </c>
      <c r="U4" s="112"/>
      <c r="V4" s="112"/>
      <c r="W4" s="112"/>
      <c r="X4" s="112">
        <v>43154</v>
      </c>
      <c r="Y4" s="564">
        <v>50336280</v>
      </c>
      <c r="Z4" s="30" t="s">
        <v>1007</v>
      </c>
      <c r="AA4" s="112"/>
      <c r="AB4" s="112"/>
      <c r="AC4" s="112"/>
      <c r="AD4" s="54">
        <v>100</v>
      </c>
      <c r="AE4" s="618"/>
      <c r="AF4" s="618"/>
      <c r="AG4" s="618"/>
      <c r="AH4" s="618"/>
      <c r="AI4" s="587" t="s">
        <v>1179</v>
      </c>
      <c r="AJ4" s="578" t="s">
        <v>1179</v>
      </c>
      <c r="AK4" s="40" t="str">
        <f t="shared" ref="AK4:AK67" si="0">CONCATENATE(YEAR(O4)," год")</f>
        <v>2017 год</v>
      </c>
      <c r="AL4" s="40" t="str">
        <f t="shared" ref="AL4:AL67" si="1">CONCATENATE(YEAR(O4)," год")</f>
        <v>2017 год</v>
      </c>
      <c r="AM4" s="40">
        <f>1</f>
        <v>1</v>
      </c>
    </row>
    <row r="5" spans="1:39" x14ac:dyDescent="0.25">
      <c r="A5" s="574">
        <v>2</v>
      </c>
      <c r="B5" s="621" t="s">
        <v>979</v>
      </c>
      <c r="C5" s="100">
        <v>42968</v>
      </c>
      <c r="D5" s="578" t="s">
        <v>753</v>
      </c>
      <c r="E5" s="579" t="s">
        <v>716</v>
      </c>
      <c r="F5" s="580">
        <v>960340000376</v>
      </c>
      <c r="G5" s="579" t="s">
        <v>981</v>
      </c>
      <c r="H5" s="581" t="s">
        <v>2147</v>
      </c>
      <c r="I5" s="98">
        <v>6866978080</v>
      </c>
      <c r="J5" s="240">
        <v>35371.300000000003</v>
      </c>
      <c r="K5" s="240"/>
      <c r="L5" s="240"/>
      <c r="M5" s="240"/>
      <c r="N5" s="240"/>
      <c r="O5" s="112">
        <v>43000</v>
      </c>
      <c r="P5" s="54">
        <v>400</v>
      </c>
      <c r="Q5" s="54">
        <v>396</v>
      </c>
      <c r="R5" s="54" t="s">
        <v>157</v>
      </c>
      <c r="S5" s="112">
        <v>42895</v>
      </c>
      <c r="T5" s="112">
        <v>43474</v>
      </c>
      <c r="U5" s="112"/>
      <c r="V5" s="112"/>
      <c r="W5" s="112"/>
      <c r="X5" s="112">
        <v>43454</v>
      </c>
      <c r="Y5" s="564">
        <v>137339562</v>
      </c>
      <c r="Z5" s="30" t="s">
        <v>1006</v>
      </c>
      <c r="AA5" s="112"/>
      <c r="AB5" s="112"/>
      <c r="AC5" s="112"/>
      <c r="AD5" s="54">
        <v>100</v>
      </c>
      <c r="AE5" s="618"/>
      <c r="AF5" s="618"/>
      <c r="AG5" s="618"/>
      <c r="AH5" s="618"/>
      <c r="AI5" s="587" t="s">
        <v>23</v>
      </c>
      <c r="AJ5" s="578" t="s">
        <v>23</v>
      </c>
      <c r="AK5" s="40" t="str">
        <f t="shared" si="0"/>
        <v>2017 год</v>
      </c>
      <c r="AL5" s="40" t="str">
        <f t="shared" si="1"/>
        <v>2017 год</v>
      </c>
      <c r="AM5" s="40">
        <f>1</f>
        <v>1</v>
      </c>
    </row>
    <row r="6" spans="1:39" x14ac:dyDescent="0.25">
      <c r="A6" s="574">
        <v>3</v>
      </c>
      <c r="B6" s="621" t="s">
        <v>955</v>
      </c>
      <c r="C6" s="100">
        <v>43090</v>
      </c>
      <c r="D6" s="578" t="s">
        <v>1179</v>
      </c>
      <c r="E6" s="54" t="s">
        <v>2092</v>
      </c>
      <c r="F6" s="582" t="s">
        <v>2093</v>
      </c>
      <c r="G6" s="54" t="s">
        <v>970</v>
      </c>
      <c r="H6" s="582" t="s">
        <v>2118</v>
      </c>
      <c r="I6" s="98">
        <v>1576632159</v>
      </c>
      <c r="J6" s="240">
        <v>13084</v>
      </c>
      <c r="K6" s="240"/>
      <c r="L6" s="240"/>
      <c r="M6" s="240"/>
      <c r="N6" s="240"/>
      <c r="O6" s="100">
        <v>43122</v>
      </c>
      <c r="P6" s="578">
        <v>148</v>
      </c>
      <c r="Q6" s="578">
        <v>167</v>
      </c>
      <c r="R6" s="54">
        <v>10</v>
      </c>
      <c r="S6" s="112">
        <v>42765</v>
      </c>
      <c r="T6" s="112">
        <v>43339</v>
      </c>
      <c r="U6" s="112"/>
      <c r="V6" s="112"/>
      <c r="W6" s="112"/>
      <c r="X6" s="112">
        <v>43339</v>
      </c>
      <c r="Y6" s="564">
        <v>18956603</v>
      </c>
      <c r="Z6" s="30" t="s">
        <v>1023</v>
      </c>
      <c r="AA6" s="112"/>
      <c r="AB6" s="112"/>
      <c r="AC6" s="112"/>
      <c r="AD6" s="54">
        <v>67</v>
      </c>
      <c r="AE6" s="618"/>
      <c r="AF6" s="618"/>
      <c r="AG6" s="618"/>
      <c r="AH6" s="618"/>
      <c r="AI6" s="587" t="s">
        <v>1179</v>
      </c>
      <c r="AJ6" s="578" t="s">
        <v>1179</v>
      </c>
      <c r="AK6" s="40" t="str">
        <f t="shared" si="0"/>
        <v>2018 год</v>
      </c>
      <c r="AL6" s="40" t="str">
        <f t="shared" si="1"/>
        <v>2018 год</v>
      </c>
      <c r="AM6" s="40">
        <f>1</f>
        <v>1</v>
      </c>
    </row>
    <row r="7" spans="1:39" ht="31.5" x14ac:dyDescent="0.25">
      <c r="A7" s="574">
        <v>4</v>
      </c>
      <c r="B7" s="621" t="s">
        <v>956</v>
      </c>
      <c r="C7" s="100">
        <v>43132</v>
      </c>
      <c r="D7" s="578" t="s">
        <v>753</v>
      </c>
      <c r="E7" s="54" t="s">
        <v>716</v>
      </c>
      <c r="F7" s="580">
        <v>960340000376</v>
      </c>
      <c r="G7" s="579" t="s">
        <v>981</v>
      </c>
      <c r="H7" s="581" t="s">
        <v>2147</v>
      </c>
      <c r="I7" s="98">
        <v>1348115202</v>
      </c>
      <c r="J7" s="240">
        <v>8303.1</v>
      </c>
      <c r="K7" s="240"/>
      <c r="L7" s="240"/>
      <c r="M7" s="240"/>
      <c r="N7" s="240"/>
      <c r="O7" s="100">
        <v>43146</v>
      </c>
      <c r="P7" s="578">
        <v>233</v>
      </c>
      <c r="Q7" s="578">
        <v>233</v>
      </c>
      <c r="R7" s="54">
        <v>1</v>
      </c>
      <c r="S7" s="112">
        <v>43005</v>
      </c>
      <c r="T7" s="112">
        <v>43461</v>
      </c>
      <c r="U7" s="112"/>
      <c r="V7" s="112"/>
      <c r="W7" s="112"/>
      <c r="X7" s="112">
        <v>43454</v>
      </c>
      <c r="Y7" s="564">
        <v>24756844</v>
      </c>
      <c r="Z7" s="30" t="s">
        <v>1022</v>
      </c>
      <c r="AA7" s="112"/>
      <c r="AB7" s="112"/>
      <c r="AC7" s="112"/>
      <c r="AD7" s="54">
        <v>100</v>
      </c>
      <c r="AE7" s="618"/>
      <c r="AF7" s="618"/>
      <c r="AG7" s="618"/>
      <c r="AH7" s="618"/>
      <c r="AI7" s="587" t="s">
        <v>23</v>
      </c>
      <c r="AJ7" s="578" t="s">
        <v>23</v>
      </c>
      <c r="AK7" s="40" t="str">
        <f t="shared" si="0"/>
        <v>2018 год</v>
      </c>
      <c r="AL7" s="40" t="str">
        <f t="shared" si="1"/>
        <v>2018 год</v>
      </c>
      <c r="AM7" s="40">
        <f>1</f>
        <v>1</v>
      </c>
    </row>
    <row r="8" spans="1:39" x14ac:dyDescent="0.25">
      <c r="A8" s="574">
        <v>5</v>
      </c>
      <c r="B8" s="621" t="s">
        <v>957</v>
      </c>
      <c r="C8" s="100">
        <v>43193</v>
      </c>
      <c r="D8" s="578" t="s">
        <v>753</v>
      </c>
      <c r="E8" s="54" t="s">
        <v>949</v>
      </c>
      <c r="F8" s="582" t="s">
        <v>2100</v>
      </c>
      <c r="G8" s="54" t="s">
        <v>1759</v>
      </c>
      <c r="H8" s="582" t="s">
        <v>1955</v>
      </c>
      <c r="I8" s="98">
        <v>1543068030</v>
      </c>
      <c r="J8" s="240">
        <v>26577.5</v>
      </c>
      <c r="K8" s="240"/>
      <c r="L8" s="240"/>
      <c r="M8" s="240"/>
      <c r="N8" s="240"/>
      <c r="O8" s="100">
        <v>43214</v>
      </c>
      <c r="P8" s="578">
        <v>300</v>
      </c>
      <c r="Q8" s="578">
        <v>360</v>
      </c>
      <c r="R8" s="578">
        <v>5</v>
      </c>
      <c r="S8" s="100">
        <v>43161</v>
      </c>
      <c r="T8" s="112">
        <v>43526</v>
      </c>
      <c r="U8" s="112"/>
      <c r="V8" s="112"/>
      <c r="W8" s="112"/>
      <c r="X8" s="112">
        <v>43482</v>
      </c>
      <c r="Y8" s="564">
        <v>28414166</v>
      </c>
      <c r="Z8" s="30" t="s">
        <v>1021</v>
      </c>
      <c r="AA8" s="112"/>
      <c r="AB8" s="112"/>
      <c r="AC8" s="112"/>
      <c r="AD8" s="54">
        <v>91</v>
      </c>
      <c r="AE8" s="618"/>
      <c r="AF8" s="618"/>
      <c r="AG8" s="618"/>
      <c r="AH8" s="618"/>
      <c r="AI8" s="587" t="s">
        <v>23</v>
      </c>
      <c r="AJ8" s="578" t="s">
        <v>23</v>
      </c>
      <c r="AK8" s="40" t="str">
        <f t="shared" si="0"/>
        <v>2018 год</v>
      </c>
      <c r="AL8" s="40" t="str">
        <f t="shared" si="1"/>
        <v>2018 год</v>
      </c>
      <c r="AM8" s="40">
        <f>1</f>
        <v>1</v>
      </c>
    </row>
    <row r="9" spans="1:39" x14ac:dyDescent="0.25">
      <c r="A9" s="574">
        <v>6</v>
      </c>
      <c r="B9" s="621" t="s">
        <v>958</v>
      </c>
      <c r="C9" s="100">
        <v>43206</v>
      </c>
      <c r="D9" s="578" t="s">
        <v>175</v>
      </c>
      <c r="E9" s="54" t="s">
        <v>977</v>
      </c>
      <c r="F9" s="583" t="s">
        <v>1686</v>
      </c>
      <c r="G9" s="54" t="s">
        <v>1760</v>
      </c>
      <c r="H9" s="582" t="s">
        <v>2169</v>
      </c>
      <c r="I9" s="98">
        <v>1279348120</v>
      </c>
      <c r="J9" s="240">
        <v>7546.7</v>
      </c>
      <c r="K9" s="240"/>
      <c r="L9" s="240"/>
      <c r="M9" s="240"/>
      <c r="N9" s="240"/>
      <c r="O9" s="100">
        <v>43218</v>
      </c>
      <c r="P9" s="578">
        <v>126</v>
      </c>
      <c r="Q9" s="578">
        <v>126</v>
      </c>
      <c r="R9" s="578">
        <v>9</v>
      </c>
      <c r="S9" s="112">
        <v>42964</v>
      </c>
      <c r="T9" s="112">
        <v>43512</v>
      </c>
      <c r="U9" s="112"/>
      <c r="V9" s="112"/>
      <c r="W9" s="112"/>
      <c r="X9" s="112">
        <v>43477</v>
      </c>
      <c r="Y9" s="564">
        <v>15796882</v>
      </c>
      <c r="Z9" s="30" t="s">
        <v>1020</v>
      </c>
      <c r="AA9" s="112"/>
      <c r="AB9" s="112"/>
      <c r="AC9" s="112"/>
      <c r="AD9" s="54">
        <v>64</v>
      </c>
      <c r="AE9" s="618"/>
      <c r="AF9" s="618"/>
      <c r="AG9" s="618"/>
      <c r="AH9" s="618"/>
      <c r="AI9" s="587" t="s">
        <v>175</v>
      </c>
      <c r="AJ9" s="578" t="s">
        <v>175</v>
      </c>
      <c r="AK9" s="40" t="str">
        <f t="shared" si="0"/>
        <v>2018 год</v>
      </c>
      <c r="AL9" s="40" t="str">
        <f t="shared" si="1"/>
        <v>2018 год</v>
      </c>
      <c r="AM9" s="40">
        <f>1</f>
        <v>1</v>
      </c>
    </row>
    <row r="10" spans="1:39" ht="31.5" x14ac:dyDescent="0.25">
      <c r="A10" s="574">
        <v>7</v>
      </c>
      <c r="B10" s="621" t="s">
        <v>959</v>
      </c>
      <c r="C10" s="100">
        <v>43325</v>
      </c>
      <c r="D10" s="578" t="s">
        <v>753</v>
      </c>
      <c r="E10" s="578" t="s">
        <v>949</v>
      </c>
      <c r="F10" s="582" t="s">
        <v>2100</v>
      </c>
      <c r="G10" s="578" t="s">
        <v>1759</v>
      </c>
      <c r="H10" s="582" t="s">
        <v>1955</v>
      </c>
      <c r="I10" s="98">
        <v>1543068032</v>
      </c>
      <c r="J10" s="240">
        <v>26577.5</v>
      </c>
      <c r="K10" s="240"/>
      <c r="L10" s="240"/>
      <c r="M10" s="240"/>
      <c r="N10" s="240"/>
      <c r="O10" s="100">
        <v>43326</v>
      </c>
      <c r="P10" s="578">
        <v>300</v>
      </c>
      <c r="Q10" s="578">
        <v>360</v>
      </c>
      <c r="R10" s="578">
        <v>5</v>
      </c>
      <c r="S10" s="100">
        <v>43161</v>
      </c>
      <c r="T10" s="112">
        <v>43526</v>
      </c>
      <c r="U10" s="100"/>
      <c r="V10" s="100"/>
      <c r="W10" s="100"/>
      <c r="X10" s="100">
        <v>43482</v>
      </c>
      <c r="Y10" s="98">
        <v>30861361</v>
      </c>
      <c r="Z10" s="30" t="s">
        <v>2325</v>
      </c>
      <c r="AA10" s="112"/>
      <c r="AB10" s="112"/>
      <c r="AC10" s="112"/>
      <c r="AD10" s="54">
        <v>90</v>
      </c>
      <c r="AE10" s="618"/>
      <c r="AF10" s="618"/>
      <c r="AG10" s="618"/>
      <c r="AH10" s="618"/>
      <c r="AI10" s="587" t="s">
        <v>23</v>
      </c>
      <c r="AJ10" s="578" t="s">
        <v>23</v>
      </c>
      <c r="AK10" s="40" t="str">
        <f t="shared" si="0"/>
        <v>2018 год</v>
      </c>
      <c r="AL10" s="40" t="str">
        <f t="shared" si="1"/>
        <v>2018 год</v>
      </c>
      <c r="AM10" s="40">
        <f>1</f>
        <v>1</v>
      </c>
    </row>
    <row r="11" spans="1:39" ht="31.5" x14ac:dyDescent="0.25">
      <c r="A11" s="574">
        <v>8</v>
      </c>
      <c r="B11" s="621" t="s">
        <v>960</v>
      </c>
      <c r="C11" s="100">
        <v>43159</v>
      </c>
      <c r="D11" s="578" t="s">
        <v>753</v>
      </c>
      <c r="E11" s="54" t="s">
        <v>716</v>
      </c>
      <c r="F11" s="580">
        <v>960340000376</v>
      </c>
      <c r="G11" s="579" t="s">
        <v>981</v>
      </c>
      <c r="H11" s="581" t="s">
        <v>2147</v>
      </c>
      <c r="I11" s="98">
        <v>2198326780</v>
      </c>
      <c r="J11" s="240">
        <v>12592.6</v>
      </c>
      <c r="K11" s="240"/>
      <c r="L11" s="240"/>
      <c r="M11" s="240"/>
      <c r="N11" s="240"/>
      <c r="O11" s="100">
        <v>43175</v>
      </c>
      <c r="P11" s="578">
        <v>134</v>
      </c>
      <c r="Q11" s="578">
        <v>134</v>
      </c>
      <c r="R11" s="578" t="s">
        <v>149</v>
      </c>
      <c r="S11" s="112">
        <v>43116</v>
      </c>
      <c r="T11" s="112">
        <v>43540</v>
      </c>
      <c r="U11" s="112">
        <v>43632</v>
      </c>
      <c r="V11" s="112"/>
      <c r="W11" s="112"/>
      <c r="X11" s="112">
        <v>43633</v>
      </c>
      <c r="Y11" s="564">
        <v>43145556</v>
      </c>
      <c r="Z11" s="30" t="s">
        <v>1018</v>
      </c>
      <c r="AA11" s="112"/>
      <c r="AB11" s="112"/>
      <c r="AC11" s="112"/>
      <c r="AD11" s="54">
        <v>100</v>
      </c>
      <c r="AE11" s="618"/>
      <c r="AF11" s="618"/>
      <c r="AG11" s="618"/>
      <c r="AH11" s="618"/>
      <c r="AI11" s="587" t="s">
        <v>23</v>
      </c>
      <c r="AJ11" s="578" t="s">
        <v>23</v>
      </c>
      <c r="AK11" s="40" t="str">
        <f t="shared" si="0"/>
        <v>2018 год</v>
      </c>
      <c r="AL11" s="40" t="str">
        <f t="shared" si="1"/>
        <v>2018 год</v>
      </c>
      <c r="AM11" s="40">
        <f>1</f>
        <v>1</v>
      </c>
    </row>
    <row r="12" spans="1:39" ht="31.5" x14ac:dyDescent="0.25">
      <c r="A12" s="574">
        <v>9</v>
      </c>
      <c r="B12" s="621" t="s">
        <v>961</v>
      </c>
      <c r="C12" s="100">
        <v>43325</v>
      </c>
      <c r="D12" s="578" t="s">
        <v>1179</v>
      </c>
      <c r="E12" s="54" t="s">
        <v>718</v>
      </c>
      <c r="F12" s="582" t="s">
        <v>1621</v>
      </c>
      <c r="G12" s="54" t="s">
        <v>972</v>
      </c>
      <c r="H12" s="582" t="s">
        <v>2204</v>
      </c>
      <c r="I12" s="98">
        <v>7519312044</v>
      </c>
      <c r="J12" s="240">
        <v>29141.3</v>
      </c>
      <c r="K12" s="240"/>
      <c r="L12" s="240"/>
      <c r="M12" s="240"/>
      <c r="N12" s="240"/>
      <c r="O12" s="100">
        <v>43341</v>
      </c>
      <c r="P12" s="578">
        <v>458</v>
      </c>
      <c r="Q12" s="98">
        <v>569</v>
      </c>
      <c r="R12" s="582" t="s">
        <v>154</v>
      </c>
      <c r="S12" s="112">
        <v>43230</v>
      </c>
      <c r="T12" s="112">
        <v>43718</v>
      </c>
      <c r="U12" s="112"/>
      <c r="V12" s="112"/>
      <c r="W12" s="112"/>
      <c r="X12" s="112">
        <v>43703</v>
      </c>
      <c r="Y12" s="564">
        <v>141232414</v>
      </c>
      <c r="Z12" s="30" t="s">
        <v>1017</v>
      </c>
      <c r="AA12" s="112"/>
      <c r="AB12" s="112"/>
      <c r="AC12" s="112"/>
      <c r="AD12" s="54">
        <v>78</v>
      </c>
      <c r="AE12" s="618"/>
      <c r="AF12" s="618"/>
      <c r="AG12" s="618"/>
      <c r="AH12" s="618"/>
      <c r="AI12" s="587" t="s">
        <v>1179</v>
      </c>
      <c r="AJ12" s="578" t="s">
        <v>1179</v>
      </c>
      <c r="AK12" s="40" t="str">
        <f t="shared" si="0"/>
        <v>2018 год</v>
      </c>
      <c r="AL12" s="40" t="str">
        <f t="shared" si="1"/>
        <v>2018 год</v>
      </c>
      <c r="AM12" s="40">
        <f>1</f>
        <v>1</v>
      </c>
    </row>
    <row r="13" spans="1:39" x14ac:dyDescent="0.25">
      <c r="A13" s="574">
        <v>10</v>
      </c>
      <c r="B13" s="621" t="s">
        <v>1060</v>
      </c>
      <c r="C13" s="100">
        <v>43390</v>
      </c>
      <c r="D13" s="578" t="s">
        <v>1179</v>
      </c>
      <c r="E13" s="54" t="s">
        <v>718</v>
      </c>
      <c r="F13" s="582" t="s">
        <v>1621</v>
      </c>
      <c r="G13" s="54" t="s">
        <v>732</v>
      </c>
      <c r="H13" s="582" t="s">
        <v>2190</v>
      </c>
      <c r="I13" s="98">
        <v>6690458969</v>
      </c>
      <c r="J13" s="240">
        <v>28555.599999999999</v>
      </c>
      <c r="K13" s="240"/>
      <c r="L13" s="240"/>
      <c r="M13" s="240"/>
      <c r="N13" s="240"/>
      <c r="O13" s="100">
        <v>43398</v>
      </c>
      <c r="P13" s="578">
        <v>467</v>
      </c>
      <c r="Q13" s="578">
        <v>467</v>
      </c>
      <c r="R13" s="54">
        <v>9</v>
      </c>
      <c r="S13" s="112">
        <v>43296</v>
      </c>
      <c r="T13" s="112">
        <v>43799</v>
      </c>
      <c r="U13" s="112">
        <v>43799</v>
      </c>
      <c r="V13" s="112"/>
      <c r="W13" s="112"/>
      <c r="X13" s="112">
        <v>43784</v>
      </c>
      <c r="Y13" s="564">
        <v>127426511</v>
      </c>
      <c r="Z13" s="30" t="s">
        <v>1016</v>
      </c>
      <c r="AA13" s="112"/>
      <c r="AB13" s="112"/>
      <c r="AC13" s="112"/>
      <c r="AD13" s="54">
        <v>78</v>
      </c>
      <c r="AE13" s="618"/>
      <c r="AF13" s="618"/>
      <c r="AG13" s="618"/>
      <c r="AH13" s="618"/>
      <c r="AI13" s="587" t="s">
        <v>1179</v>
      </c>
      <c r="AJ13" s="578" t="s">
        <v>1179</v>
      </c>
      <c r="AK13" s="40" t="str">
        <f t="shared" si="0"/>
        <v>2018 год</v>
      </c>
      <c r="AL13" s="40" t="str">
        <f t="shared" si="1"/>
        <v>2018 год</v>
      </c>
      <c r="AM13" s="40">
        <f>1</f>
        <v>1</v>
      </c>
    </row>
    <row r="14" spans="1:39" x14ac:dyDescent="0.25">
      <c r="A14" s="574">
        <v>11</v>
      </c>
      <c r="B14" s="621" t="s">
        <v>962</v>
      </c>
      <c r="C14" s="100">
        <v>43454</v>
      </c>
      <c r="D14" s="578" t="s">
        <v>753</v>
      </c>
      <c r="E14" s="54" t="s">
        <v>949</v>
      </c>
      <c r="F14" s="582" t="s">
        <v>2100</v>
      </c>
      <c r="G14" s="54" t="s">
        <v>973</v>
      </c>
      <c r="H14" s="582" t="s">
        <v>2193</v>
      </c>
      <c r="I14" s="98">
        <v>7891739810</v>
      </c>
      <c r="J14" s="240">
        <v>66742.5</v>
      </c>
      <c r="K14" s="240"/>
      <c r="L14" s="240"/>
      <c r="M14" s="240"/>
      <c r="N14" s="240"/>
      <c r="O14" s="100">
        <v>43458</v>
      </c>
      <c r="P14" s="578">
        <v>984</v>
      </c>
      <c r="Q14" s="98">
        <v>1059</v>
      </c>
      <c r="R14" s="578">
        <v>9</v>
      </c>
      <c r="S14" s="112">
        <v>43431</v>
      </c>
      <c r="T14" s="112">
        <v>43795</v>
      </c>
      <c r="U14" s="112"/>
      <c r="V14" s="112"/>
      <c r="W14" s="112"/>
      <c r="X14" s="112">
        <v>43788</v>
      </c>
      <c r="Y14" s="564">
        <v>141881753</v>
      </c>
      <c r="Z14" s="30" t="s">
        <v>1015</v>
      </c>
      <c r="AA14" s="112"/>
      <c r="AB14" s="112"/>
      <c r="AC14" s="112"/>
      <c r="AD14" s="54">
        <v>90</v>
      </c>
      <c r="AE14" s="618"/>
      <c r="AF14" s="618"/>
      <c r="AG14" s="618"/>
      <c r="AH14" s="618"/>
      <c r="AI14" s="587" t="s">
        <v>23</v>
      </c>
      <c r="AJ14" s="578" t="s">
        <v>23</v>
      </c>
      <c r="AK14" s="40" t="str">
        <f t="shared" si="0"/>
        <v>2018 год</v>
      </c>
      <c r="AL14" s="40" t="str">
        <f t="shared" si="1"/>
        <v>2018 год</v>
      </c>
      <c r="AM14" s="40">
        <f>1</f>
        <v>1</v>
      </c>
    </row>
    <row r="15" spans="1:39" x14ac:dyDescent="0.25">
      <c r="A15" s="574">
        <v>12</v>
      </c>
      <c r="B15" s="621" t="s">
        <v>963</v>
      </c>
      <c r="C15" s="100">
        <v>43147</v>
      </c>
      <c r="D15" s="578" t="s">
        <v>1179</v>
      </c>
      <c r="E15" s="54" t="s">
        <v>976</v>
      </c>
      <c r="F15" s="582" t="s">
        <v>2107</v>
      </c>
      <c r="G15" s="54" t="s">
        <v>729</v>
      </c>
      <c r="H15" s="584" t="s">
        <v>1954</v>
      </c>
      <c r="I15" s="98">
        <v>2146903508</v>
      </c>
      <c r="J15" s="240">
        <v>17848.8</v>
      </c>
      <c r="K15" s="240"/>
      <c r="L15" s="240"/>
      <c r="M15" s="240"/>
      <c r="N15" s="240"/>
      <c r="O15" s="100">
        <v>43162</v>
      </c>
      <c r="P15" s="578">
        <v>260</v>
      </c>
      <c r="Q15" s="578">
        <v>276</v>
      </c>
      <c r="R15" s="54">
        <v>14</v>
      </c>
      <c r="S15" s="112">
        <v>43160</v>
      </c>
      <c r="T15" s="112" t="s">
        <v>2023</v>
      </c>
      <c r="U15" s="112">
        <v>43616</v>
      </c>
      <c r="V15" s="112">
        <v>43708</v>
      </c>
      <c r="W15" s="112">
        <v>43890</v>
      </c>
      <c r="X15" s="112">
        <v>43803</v>
      </c>
      <c r="Y15" s="564">
        <v>36796147</v>
      </c>
      <c r="Z15" s="30" t="s">
        <v>1014</v>
      </c>
      <c r="AA15" s="564">
        <v>1302438420</v>
      </c>
      <c r="AB15" s="112"/>
      <c r="AC15" s="112"/>
      <c r="AD15" s="54">
        <v>77</v>
      </c>
      <c r="AE15" s="618"/>
      <c r="AF15" s="618"/>
      <c r="AG15" s="618"/>
      <c r="AH15" s="618"/>
      <c r="AI15" s="587" t="s">
        <v>1179</v>
      </c>
      <c r="AJ15" s="578" t="s">
        <v>1179</v>
      </c>
      <c r="AK15" s="40" t="str">
        <f t="shared" si="0"/>
        <v>2018 год</v>
      </c>
      <c r="AL15" s="40" t="str">
        <f t="shared" si="1"/>
        <v>2018 год</v>
      </c>
      <c r="AM15" s="40">
        <f>1</f>
        <v>1</v>
      </c>
    </row>
    <row r="16" spans="1:39" x14ac:dyDescent="0.25">
      <c r="A16" s="574">
        <v>13</v>
      </c>
      <c r="B16" s="621" t="s">
        <v>964</v>
      </c>
      <c r="C16" s="100">
        <v>43166</v>
      </c>
      <c r="D16" s="578" t="s">
        <v>174</v>
      </c>
      <c r="E16" s="54" t="s">
        <v>693</v>
      </c>
      <c r="F16" s="584" t="s">
        <v>1643</v>
      </c>
      <c r="G16" s="54" t="s">
        <v>702</v>
      </c>
      <c r="H16" s="582" t="s">
        <v>1639</v>
      </c>
      <c r="I16" s="98">
        <v>2458898850</v>
      </c>
      <c r="J16" s="240">
        <v>16417.7</v>
      </c>
      <c r="K16" s="240"/>
      <c r="L16" s="240"/>
      <c r="M16" s="240"/>
      <c r="N16" s="240"/>
      <c r="O16" s="100">
        <v>43194</v>
      </c>
      <c r="P16" s="578">
        <v>104</v>
      </c>
      <c r="Q16" s="54">
        <v>104</v>
      </c>
      <c r="R16" s="54">
        <v>9</v>
      </c>
      <c r="S16" s="112">
        <v>43160</v>
      </c>
      <c r="T16" s="112" t="s">
        <v>1322</v>
      </c>
      <c r="U16" s="112">
        <v>43676</v>
      </c>
      <c r="V16" s="112">
        <v>43768</v>
      </c>
      <c r="W16" s="112">
        <v>43860</v>
      </c>
      <c r="X16" s="112">
        <v>43824</v>
      </c>
      <c r="Y16" s="564">
        <v>46976477</v>
      </c>
      <c r="Z16" s="30" t="s">
        <v>1013</v>
      </c>
      <c r="AA16" s="564">
        <v>2458898850</v>
      </c>
      <c r="AB16" s="112"/>
      <c r="AC16" s="112"/>
      <c r="AD16" s="54">
        <v>64</v>
      </c>
      <c r="AE16" s="618"/>
      <c r="AF16" s="618"/>
      <c r="AG16" s="618"/>
      <c r="AH16" s="618"/>
      <c r="AI16" s="587" t="s">
        <v>174</v>
      </c>
      <c r="AJ16" s="578" t="s">
        <v>174</v>
      </c>
      <c r="AK16" s="40" t="str">
        <f t="shared" si="0"/>
        <v>2018 год</v>
      </c>
      <c r="AL16" s="40" t="str">
        <f t="shared" si="1"/>
        <v>2018 год</v>
      </c>
      <c r="AM16" s="40">
        <f>1</f>
        <v>1</v>
      </c>
    </row>
    <row r="17" spans="1:39" ht="31.5" x14ac:dyDescent="0.25">
      <c r="A17" s="574">
        <v>14</v>
      </c>
      <c r="B17" s="621" t="s">
        <v>965</v>
      </c>
      <c r="C17" s="100">
        <v>43313</v>
      </c>
      <c r="D17" s="578" t="s">
        <v>753</v>
      </c>
      <c r="E17" s="578" t="s">
        <v>716</v>
      </c>
      <c r="F17" s="580">
        <v>960340000376</v>
      </c>
      <c r="G17" s="579" t="s">
        <v>981</v>
      </c>
      <c r="H17" s="581" t="s">
        <v>2147</v>
      </c>
      <c r="I17" s="98">
        <v>2502632570</v>
      </c>
      <c r="J17" s="240">
        <v>12341.8</v>
      </c>
      <c r="K17" s="240"/>
      <c r="L17" s="240"/>
      <c r="M17" s="240"/>
      <c r="N17" s="240"/>
      <c r="O17" s="100">
        <v>43315</v>
      </c>
      <c r="P17" s="578">
        <v>94</v>
      </c>
      <c r="Q17" s="578">
        <v>94</v>
      </c>
      <c r="R17" s="578" t="s">
        <v>149</v>
      </c>
      <c r="S17" s="100">
        <v>43280</v>
      </c>
      <c r="T17" s="100">
        <v>43859</v>
      </c>
      <c r="U17" s="100"/>
      <c r="V17" s="100"/>
      <c r="W17" s="100"/>
      <c r="X17" s="100">
        <v>43822</v>
      </c>
      <c r="Y17" s="98">
        <v>48468231</v>
      </c>
      <c r="Z17" s="35" t="s">
        <v>1012</v>
      </c>
      <c r="AA17" s="100"/>
      <c r="AB17" s="100"/>
      <c r="AC17" s="100"/>
      <c r="AD17" s="54">
        <v>83</v>
      </c>
      <c r="AE17" s="618"/>
      <c r="AF17" s="618"/>
      <c r="AG17" s="618"/>
      <c r="AH17" s="618"/>
      <c r="AI17" s="587" t="s">
        <v>23</v>
      </c>
      <c r="AJ17" s="578" t="s">
        <v>23</v>
      </c>
      <c r="AK17" s="40" t="str">
        <f t="shared" si="0"/>
        <v>2018 год</v>
      </c>
      <c r="AL17" s="40" t="str">
        <f t="shared" si="1"/>
        <v>2018 год</v>
      </c>
      <c r="AM17" s="40">
        <f>1</f>
        <v>1</v>
      </c>
    </row>
    <row r="18" spans="1:39" x14ac:dyDescent="0.25">
      <c r="A18" s="574">
        <v>15</v>
      </c>
      <c r="B18" s="621" t="s">
        <v>966</v>
      </c>
      <c r="C18" s="100">
        <v>43334</v>
      </c>
      <c r="D18" s="578" t="s">
        <v>1179</v>
      </c>
      <c r="E18" s="578" t="s">
        <v>888</v>
      </c>
      <c r="F18" s="584" t="s">
        <v>2108</v>
      </c>
      <c r="G18" s="578" t="s">
        <v>1761</v>
      </c>
      <c r="H18" s="584" t="s">
        <v>2194</v>
      </c>
      <c r="I18" s="98">
        <v>5341879260</v>
      </c>
      <c r="J18" s="240">
        <v>23920.799999999999</v>
      </c>
      <c r="K18" s="240"/>
      <c r="L18" s="240"/>
      <c r="M18" s="240"/>
      <c r="N18" s="240"/>
      <c r="O18" s="100">
        <v>43385</v>
      </c>
      <c r="P18" s="578">
        <v>142</v>
      </c>
      <c r="Q18" s="578">
        <v>136</v>
      </c>
      <c r="R18" s="578" t="s">
        <v>155</v>
      </c>
      <c r="S18" s="100">
        <v>43269</v>
      </c>
      <c r="T18" s="100">
        <v>44000</v>
      </c>
      <c r="U18" s="100"/>
      <c r="V18" s="100"/>
      <c r="W18" s="100"/>
      <c r="X18" s="100">
        <v>43977</v>
      </c>
      <c r="Y18" s="98">
        <v>93091230</v>
      </c>
      <c r="Z18" s="35" t="s">
        <v>1011</v>
      </c>
      <c r="AA18" s="100"/>
      <c r="AB18" s="100"/>
      <c r="AC18" s="100"/>
      <c r="AD18" s="54">
        <v>67</v>
      </c>
      <c r="AE18" s="618"/>
      <c r="AF18" s="618"/>
      <c r="AG18" s="618"/>
      <c r="AH18" s="618"/>
      <c r="AI18" s="587" t="s">
        <v>1179</v>
      </c>
      <c r="AJ18" s="578" t="s">
        <v>1179</v>
      </c>
      <c r="AK18" s="40" t="str">
        <f t="shared" si="0"/>
        <v>2018 год</v>
      </c>
      <c r="AL18" s="40" t="str">
        <f t="shared" si="1"/>
        <v>2018 год</v>
      </c>
      <c r="AM18" s="40">
        <f>1</f>
        <v>1</v>
      </c>
    </row>
    <row r="19" spans="1:39" x14ac:dyDescent="0.25">
      <c r="A19" s="574">
        <v>16</v>
      </c>
      <c r="B19" s="621" t="s">
        <v>967</v>
      </c>
      <c r="C19" s="100">
        <v>43210</v>
      </c>
      <c r="D19" s="578" t="s">
        <v>1179</v>
      </c>
      <c r="E19" s="578" t="s">
        <v>975</v>
      </c>
      <c r="F19" s="584" t="s">
        <v>2116</v>
      </c>
      <c r="G19" s="578" t="s">
        <v>974</v>
      </c>
      <c r="H19" s="583" t="s">
        <v>1654</v>
      </c>
      <c r="I19" s="98">
        <v>6541727260</v>
      </c>
      <c r="J19" s="240">
        <v>41688.6</v>
      </c>
      <c r="K19" s="240"/>
      <c r="L19" s="240"/>
      <c r="M19" s="240"/>
      <c r="N19" s="240"/>
      <c r="O19" s="100">
        <v>43216</v>
      </c>
      <c r="P19" s="578">
        <v>324</v>
      </c>
      <c r="Q19" s="578">
        <v>324</v>
      </c>
      <c r="R19" s="578" t="s">
        <v>156</v>
      </c>
      <c r="S19" s="100">
        <v>42921</v>
      </c>
      <c r="T19" s="585" t="s">
        <v>983</v>
      </c>
      <c r="U19" s="100">
        <v>44134</v>
      </c>
      <c r="V19" s="100">
        <v>44226</v>
      </c>
      <c r="W19" s="100">
        <v>44316</v>
      </c>
      <c r="X19" s="100">
        <v>44489</v>
      </c>
      <c r="Y19" s="98">
        <v>110832077</v>
      </c>
      <c r="Z19" s="35" t="s">
        <v>1010</v>
      </c>
      <c r="AA19" s="100"/>
      <c r="AB19" s="100"/>
      <c r="AC19" s="100"/>
      <c r="AD19" s="54">
        <v>83</v>
      </c>
      <c r="AE19" s="618"/>
      <c r="AF19" s="618"/>
      <c r="AG19" s="618"/>
      <c r="AH19" s="618"/>
      <c r="AI19" s="587" t="s">
        <v>1179</v>
      </c>
      <c r="AJ19" s="578" t="s">
        <v>1179</v>
      </c>
      <c r="AK19" s="40" t="str">
        <f t="shared" si="0"/>
        <v>2018 год</v>
      </c>
      <c r="AL19" s="40" t="str">
        <f t="shared" si="1"/>
        <v>2018 год</v>
      </c>
      <c r="AM19" s="40">
        <f>1</f>
        <v>1</v>
      </c>
    </row>
    <row r="20" spans="1:39" ht="31.5" x14ac:dyDescent="0.25">
      <c r="A20" s="574">
        <v>17</v>
      </c>
      <c r="B20" s="621" t="s">
        <v>968</v>
      </c>
      <c r="C20" s="100">
        <v>43286</v>
      </c>
      <c r="D20" s="578" t="s">
        <v>1179</v>
      </c>
      <c r="E20" s="578" t="s">
        <v>975</v>
      </c>
      <c r="F20" s="584" t="s">
        <v>2116</v>
      </c>
      <c r="G20" s="578" t="s">
        <v>974</v>
      </c>
      <c r="H20" s="583" t="s">
        <v>1654</v>
      </c>
      <c r="I20" s="98">
        <v>3024902930</v>
      </c>
      <c r="J20" s="240">
        <v>13362.1</v>
      </c>
      <c r="K20" s="240"/>
      <c r="L20" s="240"/>
      <c r="M20" s="240"/>
      <c r="N20" s="240"/>
      <c r="O20" s="100">
        <v>43291</v>
      </c>
      <c r="P20" s="578">
        <v>152</v>
      </c>
      <c r="Q20" s="578">
        <v>152</v>
      </c>
      <c r="R20" s="578" t="s">
        <v>156</v>
      </c>
      <c r="S20" s="100">
        <v>43040</v>
      </c>
      <c r="T20" s="100" t="s">
        <v>982</v>
      </c>
      <c r="U20" s="100">
        <v>44134</v>
      </c>
      <c r="V20" s="100">
        <v>44226</v>
      </c>
      <c r="W20" s="100">
        <v>44316</v>
      </c>
      <c r="X20" s="100">
        <v>44489</v>
      </c>
      <c r="Y20" s="98">
        <v>56590879</v>
      </c>
      <c r="Z20" s="35" t="s">
        <v>2340</v>
      </c>
      <c r="AA20" s="100"/>
      <c r="AB20" s="100"/>
      <c r="AC20" s="100"/>
      <c r="AD20" s="54">
        <v>83</v>
      </c>
      <c r="AE20" s="618"/>
      <c r="AF20" s="618"/>
      <c r="AG20" s="618"/>
      <c r="AH20" s="618"/>
      <c r="AI20" s="587" t="s">
        <v>1179</v>
      </c>
      <c r="AJ20" s="578" t="s">
        <v>1179</v>
      </c>
      <c r="AK20" s="40" t="str">
        <f t="shared" si="0"/>
        <v>2018 год</v>
      </c>
      <c r="AL20" s="40" t="str">
        <f t="shared" si="1"/>
        <v>2018 год</v>
      </c>
      <c r="AM20" s="40">
        <f>1</f>
        <v>1</v>
      </c>
    </row>
    <row r="21" spans="1:39" ht="31.5" x14ac:dyDescent="0.25">
      <c r="A21" s="574">
        <v>18</v>
      </c>
      <c r="B21" s="621" t="s">
        <v>969</v>
      </c>
      <c r="C21" s="100">
        <v>43325</v>
      </c>
      <c r="D21" s="578" t="s">
        <v>1179</v>
      </c>
      <c r="E21" s="578" t="s">
        <v>975</v>
      </c>
      <c r="F21" s="584" t="s">
        <v>2116</v>
      </c>
      <c r="G21" s="578" t="s">
        <v>974</v>
      </c>
      <c r="H21" s="583" t="s">
        <v>1654</v>
      </c>
      <c r="I21" s="98">
        <v>3014702450</v>
      </c>
      <c r="J21" s="240">
        <v>13367.2</v>
      </c>
      <c r="K21" s="240"/>
      <c r="L21" s="240"/>
      <c r="M21" s="240"/>
      <c r="N21" s="240"/>
      <c r="O21" s="100">
        <v>43336</v>
      </c>
      <c r="P21" s="578">
        <v>152</v>
      </c>
      <c r="Q21" s="578">
        <v>152</v>
      </c>
      <c r="R21" s="578" t="s">
        <v>156</v>
      </c>
      <c r="S21" s="100">
        <v>43266</v>
      </c>
      <c r="T21" s="100" t="s">
        <v>1321</v>
      </c>
      <c r="U21" s="100">
        <v>44134</v>
      </c>
      <c r="V21" s="100">
        <v>44226</v>
      </c>
      <c r="W21" s="100">
        <v>44316</v>
      </c>
      <c r="X21" s="100">
        <v>44489</v>
      </c>
      <c r="Y21" s="98">
        <v>59088033</v>
      </c>
      <c r="Z21" s="35" t="s">
        <v>2353</v>
      </c>
      <c r="AA21" s="100"/>
      <c r="AB21" s="100"/>
      <c r="AC21" s="100"/>
      <c r="AD21" s="54">
        <v>83</v>
      </c>
      <c r="AE21" s="618"/>
      <c r="AF21" s="618"/>
      <c r="AG21" s="618"/>
      <c r="AH21" s="618"/>
      <c r="AI21" s="587" t="s">
        <v>1179</v>
      </c>
      <c r="AJ21" s="578" t="s">
        <v>1179</v>
      </c>
      <c r="AK21" s="40" t="str">
        <f t="shared" si="0"/>
        <v>2018 год</v>
      </c>
      <c r="AL21" s="40" t="str">
        <f t="shared" si="1"/>
        <v>2018 год</v>
      </c>
      <c r="AM21" s="40">
        <f>1</f>
        <v>1</v>
      </c>
    </row>
    <row r="22" spans="1:39" ht="31.5" x14ac:dyDescent="0.25">
      <c r="A22" s="574">
        <v>19</v>
      </c>
      <c r="B22" s="621" t="s">
        <v>1057</v>
      </c>
      <c r="C22" s="100">
        <v>43515</v>
      </c>
      <c r="D22" s="578" t="s">
        <v>1179</v>
      </c>
      <c r="E22" s="54" t="s">
        <v>718</v>
      </c>
      <c r="F22" s="582" t="s">
        <v>1621</v>
      </c>
      <c r="G22" s="578" t="s">
        <v>939</v>
      </c>
      <c r="H22" s="584" t="s">
        <v>2205</v>
      </c>
      <c r="I22" s="98">
        <v>4220953472</v>
      </c>
      <c r="J22" s="240">
        <v>21443</v>
      </c>
      <c r="K22" s="240"/>
      <c r="L22" s="240"/>
      <c r="M22" s="240"/>
      <c r="N22" s="240"/>
      <c r="O22" s="112">
        <v>43518</v>
      </c>
      <c r="P22" s="54">
        <v>277</v>
      </c>
      <c r="Q22" s="54">
        <v>266</v>
      </c>
      <c r="R22" s="54">
        <v>9.1199999999999992</v>
      </c>
      <c r="S22" s="112">
        <v>43441</v>
      </c>
      <c r="T22" s="112">
        <v>44142</v>
      </c>
      <c r="U22" s="112"/>
      <c r="V22" s="112"/>
      <c r="W22" s="112"/>
      <c r="X22" s="112">
        <v>43824</v>
      </c>
      <c r="Y22" s="564">
        <v>79630069</v>
      </c>
      <c r="Z22" s="30" t="s">
        <v>2341</v>
      </c>
      <c r="AA22" s="112"/>
      <c r="AB22" s="112"/>
      <c r="AC22" s="112"/>
      <c r="AD22" s="54">
        <v>78</v>
      </c>
      <c r="AE22" s="618"/>
      <c r="AF22" s="618"/>
      <c r="AG22" s="618"/>
      <c r="AH22" s="618"/>
      <c r="AI22" s="587" t="s">
        <v>1179</v>
      </c>
      <c r="AJ22" s="578" t="s">
        <v>1179</v>
      </c>
      <c r="AK22" s="40" t="str">
        <f t="shared" si="0"/>
        <v>2019 год</v>
      </c>
      <c r="AL22" s="40" t="str">
        <f t="shared" si="1"/>
        <v>2019 год</v>
      </c>
      <c r="AM22" s="40">
        <f>1</f>
        <v>1</v>
      </c>
    </row>
    <row r="23" spans="1:39" ht="31.5" x14ac:dyDescent="0.25">
      <c r="A23" s="574">
        <v>20</v>
      </c>
      <c r="B23" s="621" t="s">
        <v>914</v>
      </c>
      <c r="C23" s="100">
        <v>43523</v>
      </c>
      <c r="D23" s="578" t="s">
        <v>753</v>
      </c>
      <c r="E23" s="54" t="s">
        <v>716</v>
      </c>
      <c r="F23" s="580">
        <v>960340000376</v>
      </c>
      <c r="G23" s="579" t="s">
        <v>981</v>
      </c>
      <c r="H23" s="581" t="s">
        <v>2147</v>
      </c>
      <c r="I23" s="98">
        <v>1957311630</v>
      </c>
      <c r="J23" s="264">
        <v>12418.3</v>
      </c>
      <c r="K23" s="264"/>
      <c r="L23" s="264"/>
      <c r="M23" s="264"/>
      <c r="N23" s="264"/>
      <c r="O23" s="112">
        <v>43543</v>
      </c>
      <c r="P23" s="54">
        <v>142</v>
      </c>
      <c r="Q23" s="564">
        <v>142</v>
      </c>
      <c r="R23" s="54" t="s">
        <v>149</v>
      </c>
      <c r="S23" s="112">
        <v>43481</v>
      </c>
      <c r="T23" s="112">
        <v>43815</v>
      </c>
      <c r="U23" s="112">
        <v>43906</v>
      </c>
      <c r="V23" s="112"/>
      <c r="W23" s="112"/>
      <c r="X23" s="112">
        <v>43866</v>
      </c>
      <c r="Y23" s="564">
        <v>37257013</v>
      </c>
      <c r="Z23" s="30" t="s">
        <v>2354</v>
      </c>
      <c r="AA23" s="112"/>
      <c r="AB23" s="112"/>
      <c r="AC23" s="112"/>
      <c r="AD23" s="54">
        <v>83</v>
      </c>
      <c r="AE23" s="618"/>
      <c r="AF23" s="618"/>
      <c r="AG23" s="618"/>
      <c r="AH23" s="618"/>
      <c r="AI23" s="587" t="s">
        <v>23</v>
      </c>
      <c r="AJ23" s="578" t="s">
        <v>23</v>
      </c>
      <c r="AK23" s="40" t="str">
        <f t="shared" si="0"/>
        <v>2019 год</v>
      </c>
      <c r="AL23" s="40" t="str">
        <f t="shared" si="1"/>
        <v>2019 год</v>
      </c>
      <c r="AM23" s="40">
        <f>1</f>
        <v>1</v>
      </c>
    </row>
    <row r="24" spans="1:39" x14ac:dyDescent="0.25">
      <c r="A24" s="574">
        <v>21</v>
      </c>
      <c r="B24" s="621" t="s">
        <v>915</v>
      </c>
      <c r="C24" s="100">
        <v>43501</v>
      </c>
      <c r="D24" s="578" t="s">
        <v>1179</v>
      </c>
      <c r="E24" s="54" t="s">
        <v>718</v>
      </c>
      <c r="F24" s="582" t="s">
        <v>1621</v>
      </c>
      <c r="G24" s="578" t="s">
        <v>779</v>
      </c>
      <c r="H24" s="584" t="s">
        <v>2139</v>
      </c>
      <c r="I24" s="98">
        <v>2227028801</v>
      </c>
      <c r="J24" s="264">
        <v>8855.8700000000008</v>
      </c>
      <c r="K24" s="264"/>
      <c r="L24" s="264"/>
      <c r="M24" s="264"/>
      <c r="N24" s="264"/>
      <c r="O24" s="100">
        <v>43511</v>
      </c>
      <c r="P24" s="54">
        <v>150</v>
      </c>
      <c r="Q24" s="578">
        <v>150</v>
      </c>
      <c r="R24" s="54">
        <v>9</v>
      </c>
      <c r="S24" s="112">
        <v>43521</v>
      </c>
      <c r="T24" s="112">
        <v>43946</v>
      </c>
      <c r="U24" s="577"/>
      <c r="V24" s="577"/>
      <c r="W24" s="577"/>
      <c r="X24" s="100">
        <v>43938</v>
      </c>
      <c r="Y24" s="564">
        <v>43834498</v>
      </c>
      <c r="Z24" s="24" t="s">
        <v>1043</v>
      </c>
      <c r="AA24" s="578"/>
      <c r="AB24" s="578"/>
      <c r="AC24" s="578"/>
      <c r="AD24" s="54">
        <v>78</v>
      </c>
      <c r="AE24" s="618"/>
      <c r="AF24" s="618"/>
      <c r="AG24" s="618"/>
      <c r="AH24" s="618"/>
      <c r="AI24" s="587" t="s">
        <v>1179</v>
      </c>
      <c r="AJ24" s="578" t="s">
        <v>1179</v>
      </c>
      <c r="AK24" s="40" t="str">
        <f t="shared" si="0"/>
        <v>2019 год</v>
      </c>
      <c r="AL24" s="40" t="str">
        <f t="shared" si="1"/>
        <v>2019 год</v>
      </c>
      <c r="AM24" s="40">
        <f>1</f>
        <v>1</v>
      </c>
    </row>
    <row r="25" spans="1:39" x14ac:dyDescent="0.25">
      <c r="A25" s="574">
        <v>22</v>
      </c>
      <c r="B25" s="621" t="s">
        <v>916</v>
      </c>
      <c r="C25" s="100">
        <v>43726</v>
      </c>
      <c r="D25" s="578" t="s">
        <v>753</v>
      </c>
      <c r="E25" s="578" t="s">
        <v>949</v>
      </c>
      <c r="F25" s="582" t="s">
        <v>2100</v>
      </c>
      <c r="G25" s="578" t="s">
        <v>933</v>
      </c>
      <c r="H25" s="584" t="s">
        <v>2210</v>
      </c>
      <c r="I25" s="98">
        <v>6600809540</v>
      </c>
      <c r="J25" s="264">
        <v>64684.2</v>
      </c>
      <c r="K25" s="264"/>
      <c r="L25" s="264"/>
      <c r="M25" s="264"/>
      <c r="N25" s="264"/>
      <c r="O25" s="100">
        <v>43728</v>
      </c>
      <c r="P25" s="564">
        <v>1008</v>
      </c>
      <c r="Q25" s="98">
        <v>1118</v>
      </c>
      <c r="R25" s="54">
        <v>9</v>
      </c>
      <c r="S25" s="112">
        <v>43711</v>
      </c>
      <c r="T25" s="112">
        <v>44257</v>
      </c>
      <c r="U25" s="577"/>
      <c r="V25" s="577"/>
      <c r="W25" s="577"/>
      <c r="X25" s="100">
        <v>43965</v>
      </c>
      <c r="Y25" s="564">
        <v>132016191</v>
      </c>
      <c r="Z25" s="30" t="s">
        <v>1042</v>
      </c>
      <c r="AA25" s="112"/>
      <c r="AB25" s="112"/>
      <c r="AC25" s="112"/>
      <c r="AD25" s="54">
        <v>81</v>
      </c>
      <c r="AE25" s="618"/>
      <c r="AF25" s="618"/>
      <c r="AG25" s="618"/>
      <c r="AH25" s="618"/>
      <c r="AI25" s="587" t="s">
        <v>23</v>
      </c>
      <c r="AJ25" s="578" t="s">
        <v>23</v>
      </c>
      <c r="AK25" s="40" t="str">
        <f t="shared" si="0"/>
        <v>2019 год</v>
      </c>
      <c r="AL25" s="40" t="str">
        <f t="shared" si="1"/>
        <v>2019 год</v>
      </c>
      <c r="AM25" s="40">
        <f>1</f>
        <v>1</v>
      </c>
    </row>
    <row r="26" spans="1:39" x14ac:dyDescent="0.25">
      <c r="A26" s="574">
        <v>23</v>
      </c>
      <c r="B26" s="621" t="s">
        <v>917</v>
      </c>
      <c r="C26" s="100">
        <v>43482</v>
      </c>
      <c r="D26" s="578" t="s">
        <v>1179</v>
      </c>
      <c r="E26" s="578" t="s">
        <v>716</v>
      </c>
      <c r="F26" s="580">
        <v>960340000376</v>
      </c>
      <c r="G26" s="578" t="s">
        <v>938</v>
      </c>
      <c r="H26" s="584" t="s">
        <v>2120</v>
      </c>
      <c r="I26" s="98">
        <v>3484165830</v>
      </c>
      <c r="J26" s="264">
        <v>20748.3</v>
      </c>
      <c r="K26" s="264"/>
      <c r="L26" s="264"/>
      <c r="M26" s="264"/>
      <c r="N26" s="264"/>
      <c r="O26" s="100">
        <v>43518</v>
      </c>
      <c r="P26" s="578">
        <v>110</v>
      </c>
      <c r="Q26" s="578">
        <v>100</v>
      </c>
      <c r="R26" s="578" t="s">
        <v>150</v>
      </c>
      <c r="S26" s="112">
        <v>43357</v>
      </c>
      <c r="T26" s="112">
        <v>44042</v>
      </c>
      <c r="U26" s="577"/>
      <c r="V26" s="578"/>
      <c r="W26" s="578"/>
      <c r="X26" s="100">
        <v>44039</v>
      </c>
      <c r="Y26" s="564">
        <v>68156153</v>
      </c>
      <c r="Z26" s="24" t="s">
        <v>1041</v>
      </c>
      <c r="AA26" s="578"/>
      <c r="AB26" s="578"/>
      <c r="AC26" s="578"/>
      <c r="AD26" s="54">
        <v>83</v>
      </c>
      <c r="AE26" s="618"/>
      <c r="AF26" s="618"/>
      <c r="AG26" s="618"/>
      <c r="AH26" s="618"/>
      <c r="AI26" s="587" t="s">
        <v>1179</v>
      </c>
      <c r="AJ26" s="578" t="s">
        <v>1179</v>
      </c>
      <c r="AK26" s="40" t="str">
        <f t="shared" si="0"/>
        <v>2019 год</v>
      </c>
      <c r="AL26" s="40" t="str">
        <f t="shared" si="1"/>
        <v>2019 год</v>
      </c>
      <c r="AM26" s="40">
        <f>1</f>
        <v>1</v>
      </c>
    </row>
    <row r="27" spans="1:39" x14ac:dyDescent="0.25">
      <c r="A27" s="574">
        <v>24</v>
      </c>
      <c r="B27" s="621" t="s">
        <v>1039</v>
      </c>
      <c r="C27" s="100">
        <v>43634</v>
      </c>
      <c r="D27" s="578" t="s">
        <v>1179</v>
      </c>
      <c r="E27" s="54" t="s">
        <v>718</v>
      </c>
      <c r="F27" s="582" t="s">
        <v>1621</v>
      </c>
      <c r="G27" s="578" t="s">
        <v>941</v>
      </c>
      <c r="H27" s="584" t="s">
        <v>2156</v>
      </c>
      <c r="I27" s="98">
        <v>4429569296</v>
      </c>
      <c r="J27" s="264">
        <v>20614.560000000001</v>
      </c>
      <c r="K27" s="264"/>
      <c r="L27" s="264"/>
      <c r="M27" s="264"/>
      <c r="N27" s="264"/>
      <c r="O27" s="100">
        <v>43647</v>
      </c>
      <c r="P27" s="578">
        <v>242</v>
      </c>
      <c r="Q27" s="578">
        <v>242</v>
      </c>
      <c r="R27" s="578">
        <v>9</v>
      </c>
      <c r="S27" s="112">
        <v>43588</v>
      </c>
      <c r="T27" s="112">
        <v>44107</v>
      </c>
      <c r="U27" s="577"/>
      <c r="V27" s="577"/>
      <c r="W27" s="577"/>
      <c r="X27" s="112">
        <v>44049</v>
      </c>
      <c r="Y27" s="564">
        <v>86509774</v>
      </c>
      <c r="Z27" s="24" t="s">
        <v>1040</v>
      </c>
      <c r="AA27" s="578"/>
      <c r="AB27" s="578"/>
      <c r="AC27" s="578"/>
      <c r="AD27" s="54">
        <v>91</v>
      </c>
      <c r="AE27" s="618"/>
      <c r="AF27" s="618"/>
      <c r="AG27" s="618"/>
      <c r="AH27" s="618"/>
      <c r="AI27" s="587" t="s">
        <v>1179</v>
      </c>
      <c r="AJ27" s="578" t="s">
        <v>1179</v>
      </c>
      <c r="AK27" s="40" t="str">
        <f t="shared" si="0"/>
        <v>2019 год</v>
      </c>
      <c r="AL27" s="40" t="str">
        <f t="shared" si="1"/>
        <v>2019 год</v>
      </c>
      <c r="AM27" s="40">
        <f>1</f>
        <v>1</v>
      </c>
    </row>
    <row r="28" spans="1:39" x14ac:dyDescent="0.25">
      <c r="A28" s="574">
        <v>25</v>
      </c>
      <c r="B28" s="621" t="s">
        <v>918</v>
      </c>
      <c r="C28" s="100">
        <v>43783</v>
      </c>
      <c r="D28" s="578" t="s">
        <v>753</v>
      </c>
      <c r="E28" s="578" t="s">
        <v>715</v>
      </c>
      <c r="F28" s="584" t="s">
        <v>1628</v>
      </c>
      <c r="G28" s="578" t="s">
        <v>817</v>
      </c>
      <c r="H28" s="582" t="s">
        <v>1628</v>
      </c>
      <c r="I28" s="98">
        <v>1733779999</v>
      </c>
      <c r="J28" s="264">
        <v>7731.36</v>
      </c>
      <c r="K28" s="264"/>
      <c r="L28" s="264"/>
      <c r="M28" s="264"/>
      <c r="N28" s="264"/>
      <c r="O28" s="100">
        <v>43796</v>
      </c>
      <c r="P28" s="578">
        <v>143</v>
      </c>
      <c r="Q28" s="578">
        <v>143</v>
      </c>
      <c r="R28" s="578">
        <v>9</v>
      </c>
      <c r="S28" s="112">
        <v>43760</v>
      </c>
      <c r="T28" s="112">
        <v>43973</v>
      </c>
      <c r="U28" s="100">
        <v>44065</v>
      </c>
      <c r="V28" s="577"/>
      <c r="W28" s="577"/>
      <c r="X28" s="112">
        <v>44064</v>
      </c>
      <c r="Y28" s="564">
        <v>30929009</v>
      </c>
      <c r="Z28" s="24" t="s">
        <v>1038</v>
      </c>
      <c r="AA28" s="578"/>
      <c r="AB28" s="578"/>
      <c r="AC28" s="578"/>
      <c r="AD28" s="54">
        <v>70</v>
      </c>
      <c r="AE28" s="618"/>
      <c r="AF28" s="618"/>
      <c r="AG28" s="618"/>
      <c r="AH28" s="618"/>
      <c r="AI28" s="587" t="s">
        <v>23</v>
      </c>
      <c r="AJ28" s="578" t="s">
        <v>23</v>
      </c>
      <c r="AK28" s="40" t="str">
        <f t="shared" si="0"/>
        <v>2019 год</v>
      </c>
      <c r="AL28" s="40" t="str">
        <f t="shared" si="1"/>
        <v>2019 год</v>
      </c>
      <c r="AM28" s="40">
        <f>1</f>
        <v>1</v>
      </c>
    </row>
    <row r="29" spans="1:39" x14ac:dyDescent="0.25">
      <c r="A29" s="574">
        <v>26</v>
      </c>
      <c r="B29" s="621" t="s">
        <v>919</v>
      </c>
      <c r="C29" s="100">
        <v>43676</v>
      </c>
      <c r="D29" s="578" t="s">
        <v>174</v>
      </c>
      <c r="E29" s="578" t="s">
        <v>693</v>
      </c>
      <c r="F29" s="584" t="s">
        <v>1643</v>
      </c>
      <c r="G29" s="578" t="s">
        <v>684</v>
      </c>
      <c r="H29" s="584" t="s">
        <v>1968</v>
      </c>
      <c r="I29" s="98">
        <v>1355115090</v>
      </c>
      <c r="J29" s="264">
        <v>8903.44</v>
      </c>
      <c r="K29" s="264"/>
      <c r="L29" s="264"/>
      <c r="M29" s="264"/>
      <c r="N29" s="264"/>
      <c r="O29" s="100">
        <v>43697</v>
      </c>
      <c r="P29" s="578">
        <v>80</v>
      </c>
      <c r="Q29" s="578">
        <v>80</v>
      </c>
      <c r="R29" s="578">
        <v>5</v>
      </c>
      <c r="S29" s="112">
        <v>43635</v>
      </c>
      <c r="T29" s="112">
        <v>43970</v>
      </c>
      <c r="U29" s="100">
        <v>44062</v>
      </c>
      <c r="V29" s="100">
        <v>44123</v>
      </c>
      <c r="W29" s="577"/>
      <c r="X29" s="112">
        <v>44068</v>
      </c>
      <c r="Y29" s="564">
        <v>24228296</v>
      </c>
      <c r="Z29" s="30" t="s">
        <v>1037</v>
      </c>
      <c r="AA29" s="577"/>
      <c r="AB29" s="577"/>
      <c r="AC29" s="577"/>
      <c r="AD29" s="54">
        <v>61</v>
      </c>
      <c r="AE29" s="618"/>
      <c r="AF29" s="618"/>
      <c r="AG29" s="618"/>
      <c r="AH29" s="618"/>
      <c r="AI29" s="587" t="s">
        <v>174</v>
      </c>
      <c r="AJ29" s="578" t="s">
        <v>174</v>
      </c>
      <c r="AK29" s="40" t="str">
        <f t="shared" si="0"/>
        <v>2019 год</v>
      </c>
      <c r="AL29" s="40" t="str">
        <f t="shared" si="1"/>
        <v>2019 год</v>
      </c>
      <c r="AM29" s="40">
        <f>1</f>
        <v>1</v>
      </c>
    </row>
    <row r="30" spans="1:39" x14ac:dyDescent="0.25">
      <c r="A30" s="574">
        <v>27</v>
      </c>
      <c r="B30" s="621" t="s">
        <v>920</v>
      </c>
      <c r="C30" s="100">
        <v>43676</v>
      </c>
      <c r="D30" s="578" t="s">
        <v>1179</v>
      </c>
      <c r="E30" s="54" t="s">
        <v>718</v>
      </c>
      <c r="F30" s="582" t="s">
        <v>1621</v>
      </c>
      <c r="G30" s="578" t="s">
        <v>942</v>
      </c>
      <c r="H30" s="584" t="s">
        <v>2153</v>
      </c>
      <c r="I30" s="98">
        <v>2453517883</v>
      </c>
      <c r="J30" s="264">
        <v>8855.8700000000008</v>
      </c>
      <c r="K30" s="264"/>
      <c r="L30" s="264"/>
      <c r="M30" s="264"/>
      <c r="N30" s="264"/>
      <c r="O30" s="100">
        <v>43689</v>
      </c>
      <c r="P30" s="578">
        <v>150</v>
      </c>
      <c r="Q30" s="578">
        <v>150</v>
      </c>
      <c r="R30" s="578">
        <v>9</v>
      </c>
      <c r="S30" s="112">
        <v>43626</v>
      </c>
      <c r="T30" s="112">
        <v>44114</v>
      </c>
      <c r="U30" s="577"/>
      <c r="V30" s="577"/>
      <c r="W30" s="577"/>
      <c r="X30" s="112">
        <v>44112</v>
      </c>
      <c r="Y30" s="564">
        <v>48045915</v>
      </c>
      <c r="Z30" s="30" t="s">
        <v>1036</v>
      </c>
      <c r="AA30" s="577"/>
      <c r="AB30" s="577"/>
      <c r="AC30" s="577"/>
      <c r="AD30" s="54">
        <v>91</v>
      </c>
      <c r="AE30" s="618"/>
      <c r="AF30" s="618"/>
      <c r="AG30" s="618"/>
      <c r="AH30" s="618"/>
      <c r="AI30" s="587" t="s">
        <v>1179</v>
      </c>
      <c r="AJ30" s="578" t="s">
        <v>1179</v>
      </c>
      <c r="AK30" s="40" t="str">
        <f t="shared" si="0"/>
        <v>2019 год</v>
      </c>
      <c r="AL30" s="40" t="str">
        <f t="shared" si="1"/>
        <v>2019 год</v>
      </c>
      <c r="AM30" s="40">
        <f>1</f>
        <v>1</v>
      </c>
    </row>
    <row r="31" spans="1:39" x14ac:dyDescent="0.25">
      <c r="A31" s="574">
        <v>28</v>
      </c>
      <c r="B31" s="621" t="s">
        <v>921</v>
      </c>
      <c r="C31" s="100">
        <v>43665</v>
      </c>
      <c r="D31" s="578" t="s">
        <v>1179</v>
      </c>
      <c r="E31" s="578" t="s">
        <v>948</v>
      </c>
      <c r="F31" s="584" t="s">
        <v>2103</v>
      </c>
      <c r="G31" s="578" t="s">
        <v>932</v>
      </c>
      <c r="H31" s="584" t="s">
        <v>2126</v>
      </c>
      <c r="I31" s="98">
        <v>3019265161</v>
      </c>
      <c r="J31" s="264">
        <v>15344.61</v>
      </c>
      <c r="K31" s="264"/>
      <c r="L31" s="264"/>
      <c r="M31" s="264"/>
      <c r="N31" s="264"/>
      <c r="O31" s="112">
        <v>43677</v>
      </c>
      <c r="P31" s="54">
        <v>108</v>
      </c>
      <c r="Q31" s="564">
        <v>108</v>
      </c>
      <c r="R31" s="54">
        <v>7</v>
      </c>
      <c r="S31" s="112">
        <v>43633</v>
      </c>
      <c r="T31" s="112">
        <v>44180</v>
      </c>
      <c r="U31" s="112"/>
      <c r="V31" s="112"/>
      <c r="W31" s="112"/>
      <c r="X31" s="112">
        <v>44165</v>
      </c>
      <c r="Y31" s="564">
        <v>50272872</v>
      </c>
      <c r="Z31" s="30" t="s">
        <v>1035</v>
      </c>
      <c r="AA31" s="112"/>
      <c r="AB31" s="112"/>
      <c r="AC31" s="112"/>
      <c r="AD31" s="54">
        <v>91</v>
      </c>
      <c r="AE31" s="618"/>
      <c r="AF31" s="618"/>
      <c r="AG31" s="618"/>
      <c r="AH31" s="618"/>
      <c r="AI31" s="587" t="s">
        <v>1179</v>
      </c>
      <c r="AJ31" s="578" t="s">
        <v>1179</v>
      </c>
      <c r="AK31" s="40" t="str">
        <f t="shared" si="0"/>
        <v>2019 год</v>
      </c>
      <c r="AL31" s="40" t="str">
        <f t="shared" si="1"/>
        <v>2019 год</v>
      </c>
      <c r="AM31" s="40">
        <f>1</f>
        <v>1</v>
      </c>
    </row>
    <row r="32" spans="1:39" x14ac:dyDescent="0.25">
      <c r="A32" s="574">
        <v>29</v>
      </c>
      <c r="B32" s="621" t="s">
        <v>922</v>
      </c>
      <c r="C32" s="100">
        <v>44081</v>
      </c>
      <c r="D32" s="578" t="s">
        <v>1179</v>
      </c>
      <c r="E32" s="54" t="s">
        <v>716</v>
      </c>
      <c r="F32" s="580">
        <v>960340000376</v>
      </c>
      <c r="G32" s="54" t="s">
        <v>867</v>
      </c>
      <c r="H32" s="582" t="s">
        <v>2199</v>
      </c>
      <c r="I32" s="98">
        <v>1136489476</v>
      </c>
      <c r="J32" s="264">
        <v>7918.13</v>
      </c>
      <c r="K32" s="264"/>
      <c r="L32" s="264"/>
      <c r="M32" s="264"/>
      <c r="N32" s="264"/>
      <c r="O32" s="112">
        <v>43670</v>
      </c>
      <c r="P32" s="564">
        <v>85</v>
      </c>
      <c r="Q32" s="564">
        <v>85</v>
      </c>
      <c r="R32" s="578">
        <v>18</v>
      </c>
      <c r="S32" s="100">
        <v>43956</v>
      </c>
      <c r="T32" s="112">
        <v>44413</v>
      </c>
      <c r="U32" s="578"/>
      <c r="V32" s="578"/>
      <c r="W32" s="578"/>
      <c r="X32" s="100">
        <v>44398</v>
      </c>
      <c r="Y32" s="564">
        <v>19307570</v>
      </c>
      <c r="Z32" s="30" t="s">
        <v>1033</v>
      </c>
      <c r="AA32" s="112"/>
      <c r="AB32" s="112"/>
      <c r="AC32" s="112"/>
      <c r="AD32" s="54">
        <v>84</v>
      </c>
      <c r="AE32" s="618"/>
      <c r="AF32" s="618"/>
      <c r="AG32" s="618"/>
      <c r="AH32" s="618"/>
      <c r="AI32" s="587" t="s">
        <v>1179</v>
      </c>
      <c r="AJ32" s="578" t="s">
        <v>1179</v>
      </c>
      <c r="AK32" s="40" t="str">
        <f t="shared" si="0"/>
        <v>2019 год</v>
      </c>
      <c r="AL32" s="40" t="str">
        <f t="shared" si="1"/>
        <v>2019 год</v>
      </c>
      <c r="AM32" s="40">
        <f>1</f>
        <v>1</v>
      </c>
    </row>
    <row r="33" spans="1:39" x14ac:dyDescent="0.25">
      <c r="A33" s="574">
        <v>30</v>
      </c>
      <c r="B33" s="621" t="s">
        <v>923</v>
      </c>
      <c r="C33" s="100">
        <v>43726</v>
      </c>
      <c r="D33" s="578" t="s">
        <v>753</v>
      </c>
      <c r="E33" s="578" t="s">
        <v>949</v>
      </c>
      <c r="F33" s="582" t="s">
        <v>2100</v>
      </c>
      <c r="G33" s="578" t="s">
        <v>934</v>
      </c>
      <c r="H33" s="584" t="s">
        <v>2195</v>
      </c>
      <c r="I33" s="98">
        <v>5130621336</v>
      </c>
      <c r="J33" s="264">
        <v>36276.5</v>
      </c>
      <c r="K33" s="264"/>
      <c r="L33" s="264"/>
      <c r="M33" s="264"/>
      <c r="N33" s="264"/>
      <c r="O33" s="112">
        <v>43728</v>
      </c>
      <c r="P33" s="54">
        <v>432</v>
      </c>
      <c r="Q33" s="564">
        <v>468</v>
      </c>
      <c r="R33" s="54">
        <v>12</v>
      </c>
      <c r="S33" s="112">
        <v>43712</v>
      </c>
      <c r="T33" s="112">
        <v>44188</v>
      </c>
      <c r="U33" s="112"/>
      <c r="V33" s="112"/>
      <c r="W33" s="112"/>
      <c r="X33" s="112">
        <v>44188</v>
      </c>
      <c r="Y33" s="564">
        <v>102612427</v>
      </c>
      <c r="Z33" s="30" t="s">
        <v>1034</v>
      </c>
      <c r="AA33" s="112"/>
      <c r="AB33" s="112"/>
      <c r="AC33" s="112"/>
      <c r="AD33" s="54">
        <v>81</v>
      </c>
      <c r="AE33" s="618"/>
      <c r="AF33" s="618"/>
      <c r="AG33" s="618"/>
      <c r="AH33" s="618"/>
      <c r="AI33" s="587" t="s">
        <v>23</v>
      </c>
      <c r="AJ33" s="578" t="s">
        <v>23</v>
      </c>
      <c r="AK33" s="40" t="str">
        <f t="shared" si="0"/>
        <v>2019 год</v>
      </c>
      <c r="AL33" s="40" t="str">
        <f t="shared" si="1"/>
        <v>2019 год</v>
      </c>
      <c r="AM33" s="40">
        <f>1</f>
        <v>1</v>
      </c>
    </row>
    <row r="34" spans="1:39" x14ac:dyDescent="0.25">
      <c r="A34" s="574">
        <v>31</v>
      </c>
      <c r="B34" s="621" t="s">
        <v>952</v>
      </c>
      <c r="C34" s="100">
        <v>43643</v>
      </c>
      <c r="D34" s="578" t="s">
        <v>1179</v>
      </c>
      <c r="E34" s="578" t="s">
        <v>716</v>
      </c>
      <c r="F34" s="580">
        <v>960340000376</v>
      </c>
      <c r="G34" s="54" t="s">
        <v>867</v>
      </c>
      <c r="H34" s="582" t="s">
        <v>2199</v>
      </c>
      <c r="I34" s="98">
        <v>2161436079</v>
      </c>
      <c r="J34" s="264">
        <v>12298.3</v>
      </c>
      <c r="K34" s="264"/>
      <c r="L34" s="264"/>
      <c r="M34" s="264"/>
      <c r="N34" s="264"/>
      <c r="O34" s="112">
        <v>43670</v>
      </c>
      <c r="P34" s="54">
        <v>100</v>
      </c>
      <c r="Q34" s="564">
        <v>100</v>
      </c>
      <c r="R34" s="54">
        <v>21</v>
      </c>
      <c r="S34" s="112">
        <v>43614</v>
      </c>
      <c r="T34" s="112">
        <v>44103</v>
      </c>
      <c r="U34" s="112">
        <v>44194</v>
      </c>
      <c r="V34" s="112"/>
      <c r="W34" s="112"/>
      <c r="X34" s="112">
        <v>44193</v>
      </c>
      <c r="Y34" s="564">
        <v>41160642</v>
      </c>
      <c r="Z34" s="30" t="s">
        <v>1033</v>
      </c>
      <c r="AA34" s="112"/>
      <c r="AB34" s="112"/>
      <c r="AC34" s="112"/>
      <c r="AD34" s="54">
        <v>78</v>
      </c>
      <c r="AE34" s="618"/>
      <c r="AF34" s="618"/>
      <c r="AG34" s="618"/>
      <c r="AH34" s="618"/>
      <c r="AI34" s="587" t="s">
        <v>1179</v>
      </c>
      <c r="AJ34" s="578" t="s">
        <v>1179</v>
      </c>
      <c r="AK34" s="40" t="str">
        <f t="shared" si="0"/>
        <v>2019 год</v>
      </c>
      <c r="AL34" s="40" t="str">
        <f t="shared" si="1"/>
        <v>2019 год</v>
      </c>
      <c r="AM34" s="40">
        <f>1</f>
        <v>1</v>
      </c>
    </row>
    <row r="35" spans="1:39" ht="31.5" x14ac:dyDescent="0.25">
      <c r="A35" s="574">
        <v>32</v>
      </c>
      <c r="B35" s="621" t="s">
        <v>924</v>
      </c>
      <c r="C35" s="100">
        <v>43777</v>
      </c>
      <c r="D35" s="578" t="s">
        <v>1179</v>
      </c>
      <c r="E35" s="578" t="s">
        <v>716</v>
      </c>
      <c r="F35" s="580">
        <v>960340000376</v>
      </c>
      <c r="G35" s="578" t="s">
        <v>943</v>
      </c>
      <c r="H35" s="584" t="s">
        <v>2120</v>
      </c>
      <c r="I35" s="98">
        <v>2176943630</v>
      </c>
      <c r="J35" s="264">
        <v>11705.1</v>
      </c>
      <c r="K35" s="264"/>
      <c r="L35" s="264"/>
      <c r="M35" s="264"/>
      <c r="N35" s="264"/>
      <c r="O35" s="112">
        <v>43783</v>
      </c>
      <c r="P35" s="54">
        <v>82</v>
      </c>
      <c r="Q35" s="564">
        <v>82</v>
      </c>
      <c r="R35" s="586">
        <v>9.1</v>
      </c>
      <c r="S35" s="112">
        <v>43712</v>
      </c>
      <c r="T35" s="112">
        <v>44193</v>
      </c>
      <c r="U35" s="112"/>
      <c r="V35" s="112"/>
      <c r="W35" s="112"/>
      <c r="X35" s="112">
        <v>44193</v>
      </c>
      <c r="Y35" s="564">
        <v>42801333</v>
      </c>
      <c r="Z35" s="30" t="s">
        <v>2342</v>
      </c>
      <c r="AA35" s="112"/>
      <c r="AB35" s="112"/>
      <c r="AC35" s="112"/>
      <c r="AD35" s="54">
        <v>84</v>
      </c>
      <c r="AE35" s="618"/>
      <c r="AF35" s="618"/>
      <c r="AG35" s="618"/>
      <c r="AH35" s="618"/>
      <c r="AI35" s="587" t="s">
        <v>1179</v>
      </c>
      <c r="AJ35" s="578" t="s">
        <v>1179</v>
      </c>
      <c r="AK35" s="40" t="str">
        <f t="shared" si="0"/>
        <v>2019 год</v>
      </c>
      <c r="AL35" s="40" t="str">
        <f t="shared" si="1"/>
        <v>2019 год</v>
      </c>
      <c r="AM35" s="40">
        <f>1</f>
        <v>1</v>
      </c>
    </row>
    <row r="36" spans="1:39" ht="31.5" x14ac:dyDescent="0.25">
      <c r="A36" s="574">
        <v>33</v>
      </c>
      <c r="B36" s="621" t="s">
        <v>925</v>
      </c>
      <c r="C36" s="100">
        <v>43628</v>
      </c>
      <c r="D36" s="578" t="s">
        <v>174</v>
      </c>
      <c r="E36" s="578" t="s">
        <v>693</v>
      </c>
      <c r="F36" s="584" t="s">
        <v>1643</v>
      </c>
      <c r="G36" s="578" t="s">
        <v>702</v>
      </c>
      <c r="H36" s="582" t="s">
        <v>1639</v>
      </c>
      <c r="I36" s="98">
        <v>4853681279</v>
      </c>
      <c r="J36" s="264">
        <v>27937.7</v>
      </c>
      <c r="K36" s="264"/>
      <c r="L36" s="264"/>
      <c r="M36" s="264"/>
      <c r="N36" s="264"/>
      <c r="O36" s="112">
        <v>43629</v>
      </c>
      <c r="P36" s="54">
        <v>168</v>
      </c>
      <c r="Q36" s="564">
        <v>168</v>
      </c>
      <c r="R36" s="54">
        <v>9</v>
      </c>
      <c r="S36" s="112">
        <v>43588</v>
      </c>
      <c r="T36" s="112">
        <v>44258</v>
      </c>
      <c r="U36" s="112">
        <v>44350</v>
      </c>
      <c r="V36" s="112"/>
      <c r="W36" s="112"/>
      <c r="X36" s="112">
        <v>44247</v>
      </c>
      <c r="Y36" s="564">
        <v>77180276</v>
      </c>
      <c r="Z36" s="30" t="s">
        <v>1031</v>
      </c>
      <c r="AA36" s="564">
        <v>3859013800</v>
      </c>
      <c r="AB36" s="112"/>
      <c r="AC36" s="112"/>
      <c r="AD36" s="54">
        <v>61</v>
      </c>
      <c r="AE36" s="618"/>
      <c r="AF36" s="618"/>
      <c r="AG36" s="618"/>
      <c r="AH36" s="618"/>
      <c r="AI36" s="587" t="s">
        <v>174</v>
      </c>
      <c r="AJ36" s="578" t="s">
        <v>174</v>
      </c>
      <c r="AK36" s="40" t="str">
        <f t="shared" si="0"/>
        <v>2019 год</v>
      </c>
      <c r="AL36" s="40" t="str">
        <f t="shared" si="1"/>
        <v>2019 год</v>
      </c>
      <c r="AM36" s="40">
        <f>1</f>
        <v>1</v>
      </c>
    </row>
    <row r="37" spans="1:39" x14ac:dyDescent="0.25">
      <c r="A37" s="574">
        <v>34</v>
      </c>
      <c r="B37" s="621" t="s">
        <v>926</v>
      </c>
      <c r="C37" s="100">
        <v>43692</v>
      </c>
      <c r="D37" s="578" t="s">
        <v>1179</v>
      </c>
      <c r="E37" s="578" t="s">
        <v>716</v>
      </c>
      <c r="F37" s="580">
        <v>960340000376</v>
      </c>
      <c r="G37" s="578" t="s">
        <v>935</v>
      </c>
      <c r="H37" s="584" t="s">
        <v>2179</v>
      </c>
      <c r="I37" s="98">
        <v>2415410355</v>
      </c>
      <c r="J37" s="264">
        <v>16376.6</v>
      </c>
      <c r="K37" s="264"/>
      <c r="L37" s="264"/>
      <c r="M37" s="264"/>
      <c r="N37" s="264"/>
      <c r="O37" s="112">
        <v>43711</v>
      </c>
      <c r="P37" s="54">
        <v>276</v>
      </c>
      <c r="Q37" s="564">
        <v>248</v>
      </c>
      <c r="R37" s="54">
        <v>9</v>
      </c>
      <c r="S37" s="112">
        <v>43613</v>
      </c>
      <c r="T37" s="112">
        <v>44255</v>
      </c>
      <c r="U37" s="112">
        <v>44344</v>
      </c>
      <c r="V37" s="112"/>
      <c r="W37" s="112"/>
      <c r="X37" s="112">
        <v>44284</v>
      </c>
      <c r="Y37" s="564">
        <v>48308207.100000001</v>
      </c>
      <c r="Z37" s="30" t="s">
        <v>1030</v>
      </c>
      <c r="AA37" s="112"/>
      <c r="AB37" s="112"/>
      <c r="AC37" s="112"/>
      <c r="AD37" s="54">
        <v>78</v>
      </c>
      <c r="AE37" s="618"/>
      <c r="AF37" s="618"/>
      <c r="AG37" s="618"/>
      <c r="AH37" s="618"/>
      <c r="AI37" s="587" t="s">
        <v>1179</v>
      </c>
      <c r="AJ37" s="578" t="s">
        <v>1179</v>
      </c>
      <c r="AK37" s="40" t="str">
        <f t="shared" si="0"/>
        <v>2019 год</v>
      </c>
      <c r="AL37" s="40" t="str">
        <f t="shared" si="1"/>
        <v>2019 год</v>
      </c>
      <c r="AM37" s="40">
        <f>1</f>
        <v>1</v>
      </c>
    </row>
    <row r="38" spans="1:39" ht="31.5" x14ac:dyDescent="0.25">
      <c r="A38" s="587" t="s">
        <v>28</v>
      </c>
      <c r="B38" s="621" t="s">
        <v>1471</v>
      </c>
      <c r="C38" s="100">
        <v>43875</v>
      </c>
      <c r="D38" s="578" t="s">
        <v>1179</v>
      </c>
      <c r="E38" s="578" t="s">
        <v>716</v>
      </c>
      <c r="F38" s="580">
        <v>960340000376</v>
      </c>
      <c r="G38" s="578" t="s">
        <v>935</v>
      </c>
      <c r="H38" s="584" t="s">
        <v>2179</v>
      </c>
      <c r="I38" s="98">
        <v>698876654</v>
      </c>
      <c r="J38" s="264">
        <v>4954</v>
      </c>
      <c r="K38" s="264"/>
      <c r="L38" s="264"/>
      <c r="M38" s="264"/>
      <c r="N38" s="264"/>
      <c r="O38" s="100">
        <v>43880</v>
      </c>
      <c r="P38" s="580">
        <v>0</v>
      </c>
      <c r="Q38" s="564">
        <v>0</v>
      </c>
      <c r="R38" s="588" t="s">
        <v>28</v>
      </c>
      <c r="S38" s="100">
        <v>43613</v>
      </c>
      <c r="T38" s="112">
        <v>44255</v>
      </c>
      <c r="U38" s="100">
        <v>44344</v>
      </c>
      <c r="V38" s="578"/>
      <c r="W38" s="578"/>
      <c r="X38" s="100">
        <v>44284</v>
      </c>
      <c r="Y38" s="564">
        <v>13977533</v>
      </c>
      <c r="Z38" s="35" t="s">
        <v>1074</v>
      </c>
      <c r="AA38" s="112"/>
      <c r="AB38" s="112"/>
      <c r="AC38" s="112"/>
      <c r="AD38" s="54">
        <v>78</v>
      </c>
      <c r="AE38" s="618"/>
      <c r="AF38" s="618"/>
      <c r="AG38" s="618"/>
      <c r="AH38" s="618"/>
      <c r="AI38" s="587"/>
      <c r="AJ38" s="578" t="s">
        <v>1179</v>
      </c>
      <c r="AK38" s="40"/>
      <c r="AL38" s="40" t="str">
        <f t="shared" si="1"/>
        <v>2020 год</v>
      </c>
      <c r="AM38" s="40"/>
    </row>
    <row r="39" spans="1:39" x14ac:dyDescent="0.25">
      <c r="A39" s="574">
        <v>35</v>
      </c>
      <c r="B39" s="621" t="s">
        <v>951</v>
      </c>
      <c r="C39" s="100">
        <v>43665</v>
      </c>
      <c r="D39" s="578" t="s">
        <v>759</v>
      </c>
      <c r="E39" s="578" t="s">
        <v>705</v>
      </c>
      <c r="F39" s="584" t="s">
        <v>2097</v>
      </c>
      <c r="G39" s="578" t="s">
        <v>944</v>
      </c>
      <c r="H39" s="584" t="s">
        <v>2123</v>
      </c>
      <c r="I39" s="98">
        <v>4672680111</v>
      </c>
      <c r="J39" s="264">
        <v>23277.66</v>
      </c>
      <c r="K39" s="264"/>
      <c r="L39" s="264"/>
      <c r="M39" s="264"/>
      <c r="N39" s="264"/>
      <c r="O39" s="112">
        <v>43679</v>
      </c>
      <c r="P39" s="54">
        <v>288</v>
      </c>
      <c r="Q39" s="564">
        <v>267</v>
      </c>
      <c r="R39" s="54">
        <v>12</v>
      </c>
      <c r="S39" s="112">
        <v>43651</v>
      </c>
      <c r="T39" s="112">
        <v>44058</v>
      </c>
      <c r="U39" s="112">
        <v>44150</v>
      </c>
      <c r="V39" s="112">
        <v>44242</v>
      </c>
      <c r="W39" s="112">
        <v>44331</v>
      </c>
      <c r="X39" s="112">
        <v>44321</v>
      </c>
      <c r="Y39" s="564">
        <v>93453602</v>
      </c>
      <c r="Z39" s="30" t="s">
        <v>1029</v>
      </c>
      <c r="AA39" s="112"/>
      <c r="AB39" s="112"/>
      <c r="AC39" s="112"/>
      <c r="AD39" s="54">
        <v>73</v>
      </c>
      <c r="AE39" s="618"/>
      <c r="AF39" s="618"/>
      <c r="AG39" s="618"/>
      <c r="AH39" s="618"/>
      <c r="AI39" s="587" t="s">
        <v>1843</v>
      </c>
      <c r="AJ39" s="578" t="s">
        <v>1843</v>
      </c>
      <c r="AK39" s="40" t="str">
        <f t="shared" si="0"/>
        <v>2019 год</v>
      </c>
      <c r="AL39" s="40" t="str">
        <f t="shared" si="1"/>
        <v>2019 год</v>
      </c>
      <c r="AM39" s="40">
        <f>1</f>
        <v>1</v>
      </c>
    </row>
    <row r="40" spans="1:39" x14ac:dyDescent="0.25">
      <c r="A40" s="574">
        <v>36</v>
      </c>
      <c r="B40" s="621" t="s">
        <v>927</v>
      </c>
      <c r="C40" s="100">
        <v>43726</v>
      </c>
      <c r="D40" s="578" t="s">
        <v>1179</v>
      </c>
      <c r="E40" s="54" t="s">
        <v>718</v>
      </c>
      <c r="F40" s="582" t="s">
        <v>1621</v>
      </c>
      <c r="G40" s="578" t="s">
        <v>945</v>
      </c>
      <c r="H40" s="584" t="s">
        <v>2134</v>
      </c>
      <c r="I40" s="98">
        <v>6019547133</v>
      </c>
      <c r="J40" s="264">
        <v>26723.09</v>
      </c>
      <c r="K40" s="264"/>
      <c r="L40" s="264"/>
      <c r="M40" s="264"/>
      <c r="N40" s="264"/>
      <c r="O40" s="112">
        <v>43735</v>
      </c>
      <c r="P40" s="54">
        <v>307</v>
      </c>
      <c r="Q40" s="54">
        <v>307</v>
      </c>
      <c r="R40" s="54">
        <v>8</v>
      </c>
      <c r="S40" s="112">
        <v>43662</v>
      </c>
      <c r="T40" s="112">
        <v>44363</v>
      </c>
      <c r="U40" s="112"/>
      <c r="V40" s="112"/>
      <c r="W40" s="112"/>
      <c r="X40" s="112">
        <v>44361</v>
      </c>
      <c r="Y40" s="564">
        <v>119220603</v>
      </c>
      <c r="Z40" s="30" t="s">
        <v>1028</v>
      </c>
      <c r="AA40" s="112"/>
      <c r="AB40" s="112"/>
      <c r="AC40" s="112"/>
      <c r="AD40" s="54">
        <v>91</v>
      </c>
      <c r="AE40" s="618"/>
      <c r="AF40" s="618"/>
      <c r="AG40" s="618"/>
      <c r="AH40" s="618"/>
      <c r="AI40" s="587" t="s">
        <v>1179</v>
      </c>
      <c r="AJ40" s="578" t="s">
        <v>1179</v>
      </c>
      <c r="AK40" s="40" t="str">
        <f t="shared" si="0"/>
        <v>2019 год</v>
      </c>
      <c r="AL40" s="40" t="str">
        <f t="shared" si="1"/>
        <v>2019 год</v>
      </c>
      <c r="AM40" s="40">
        <f>1</f>
        <v>1</v>
      </c>
    </row>
    <row r="41" spans="1:39" ht="31.5" x14ac:dyDescent="0.25">
      <c r="A41" s="574">
        <v>37</v>
      </c>
      <c r="B41" s="621" t="s">
        <v>1058</v>
      </c>
      <c r="C41" s="100">
        <v>43791</v>
      </c>
      <c r="D41" s="578" t="s">
        <v>1179</v>
      </c>
      <c r="E41" s="54" t="s">
        <v>718</v>
      </c>
      <c r="F41" s="582" t="s">
        <v>1621</v>
      </c>
      <c r="G41" s="578" t="s">
        <v>939</v>
      </c>
      <c r="H41" s="584" t="s">
        <v>2205</v>
      </c>
      <c r="I41" s="98">
        <v>3663548205</v>
      </c>
      <c r="J41" s="264">
        <v>19815.5</v>
      </c>
      <c r="K41" s="264"/>
      <c r="L41" s="264"/>
      <c r="M41" s="264"/>
      <c r="N41" s="264"/>
      <c r="O41" s="112">
        <v>43791</v>
      </c>
      <c r="P41" s="54">
        <v>278</v>
      </c>
      <c r="Q41" s="54">
        <v>278</v>
      </c>
      <c r="R41" s="54" t="s">
        <v>153</v>
      </c>
      <c r="S41" s="112">
        <v>43759</v>
      </c>
      <c r="T41" s="112">
        <v>44393</v>
      </c>
      <c r="U41" s="112"/>
      <c r="V41" s="112"/>
      <c r="W41" s="112"/>
      <c r="X41" s="112">
        <v>44363</v>
      </c>
      <c r="Y41" s="564">
        <v>72343291</v>
      </c>
      <c r="Z41" s="30" t="s">
        <v>2355</v>
      </c>
      <c r="AA41" s="112"/>
      <c r="AB41" s="112"/>
      <c r="AC41" s="112"/>
      <c r="AD41" s="54">
        <v>91</v>
      </c>
      <c r="AE41" s="618"/>
      <c r="AF41" s="618"/>
      <c r="AG41" s="618"/>
      <c r="AH41" s="618"/>
      <c r="AI41" s="587" t="s">
        <v>1179</v>
      </c>
      <c r="AJ41" s="578" t="s">
        <v>1179</v>
      </c>
      <c r="AK41" s="40" t="str">
        <f t="shared" si="0"/>
        <v>2019 год</v>
      </c>
      <c r="AL41" s="40" t="str">
        <f t="shared" si="1"/>
        <v>2019 год</v>
      </c>
      <c r="AM41" s="40">
        <f>1</f>
        <v>1</v>
      </c>
    </row>
    <row r="42" spans="1:39" ht="31.5" x14ac:dyDescent="0.25">
      <c r="A42" s="574">
        <v>38</v>
      </c>
      <c r="B42" s="621" t="s">
        <v>1059</v>
      </c>
      <c r="C42" s="100">
        <v>43748</v>
      </c>
      <c r="D42" s="578" t="s">
        <v>1179</v>
      </c>
      <c r="E42" s="54" t="s">
        <v>718</v>
      </c>
      <c r="F42" s="582" t="s">
        <v>1621</v>
      </c>
      <c r="G42" s="578" t="s">
        <v>939</v>
      </c>
      <c r="H42" s="584" t="s">
        <v>2205</v>
      </c>
      <c r="I42" s="98">
        <v>5814608330</v>
      </c>
      <c r="J42" s="264">
        <v>32516</v>
      </c>
      <c r="K42" s="264"/>
      <c r="L42" s="264"/>
      <c r="M42" s="264"/>
      <c r="N42" s="264"/>
      <c r="O42" s="112">
        <v>43749</v>
      </c>
      <c r="P42" s="54">
        <v>408</v>
      </c>
      <c r="Q42" s="54">
        <v>408</v>
      </c>
      <c r="R42" s="54">
        <v>22</v>
      </c>
      <c r="S42" s="112">
        <v>43704</v>
      </c>
      <c r="T42" s="112">
        <v>44496</v>
      </c>
      <c r="U42" s="112"/>
      <c r="V42" s="112"/>
      <c r="W42" s="112"/>
      <c r="X42" s="112">
        <v>44347</v>
      </c>
      <c r="Y42" s="564">
        <v>114777807</v>
      </c>
      <c r="Z42" s="30" t="s">
        <v>2356</v>
      </c>
      <c r="AA42" s="112"/>
      <c r="AB42" s="112"/>
      <c r="AC42" s="112"/>
      <c r="AD42" s="54">
        <v>91</v>
      </c>
      <c r="AE42" s="618"/>
      <c r="AF42" s="618"/>
      <c r="AG42" s="618"/>
      <c r="AH42" s="618"/>
      <c r="AI42" s="587" t="s">
        <v>1179</v>
      </c>
      <c r="AJ42" s="578" t="s">
        <v>1179</v>
      </c>
      <c r="AK42" s="40" t="str">
        <f t="shared" si="0"/>
        <v>2019 год</v>
      </c>
      <c r="AL42" s="40" t="str">
        <f t="shared" si="1"/>
        <v>2019 год</v>
      </c>
      <c r="AM42" s="40">
        <f>1</f>
        <v>1</v>
      </c>
    </row>
    <row r="43" spans="1:39" x14ac:dyDescent="0.25">
      <c r="A43" s="574">
        <v>39</v>
      </c>
      <c r="B43" s="621" t="s">
        <v>928</v>
      </c>
      <c r="C43" s="100">
        <v>43777</v>
      </c>
      <c r="D43" s="578" t="s">
        <v>753</v>
      </c>
      <c r="E43" s="54" t="s">
        <v>718</v>
      </c>
      <c r="F43" s="582" t="s">
        <v>1621</v>
      </c>
      <c r="G43" s="578" t="s">
        <v>946</v>
      </c>
      <c r="H43" s="584" t="s">
        <v>2200</v>
      </c>
      <c r="I43" s="98">
        <v>6837749056</v>
      </c>
      <c r="J43" s="264">
        <v>32575.200000000001</v>
      </c>
      <c r="K43" s="264"/>
      <c r="L43" s="264"/>
      <c r="M43" s="264"/>
      <c r="N43" s="264"/>
      <c r="O43" s="112">
        <v>43783</v>
      </c>
      <c r="P43" s="54">
        <v>431</v>
      </c>
      <c r="Q43" s="54">
        <v>431</v>
      </c>
      <c r="R43" s="54">
        <v>12.16</v>
      </c>
      <c r="S43" s="112">
        <v>43731</v>
      </c>
      <c r="T43" s="112" t="s">
        <v>1320</v>
      </c>
      <c r="U43" s="112">
        <v>44426</v>
      </c>
      <c r="V43" s="112"/>
      <c r="W43" s="112"/>
      <c r="X43" s="112">
        <v>44376</v>
      </c>
      <c r="Y43" s="564">
        <v>134440701</v>
      </c>
      <c r="Z43" s="30" t="s">
        <v>1026</v>
      </c>
      <c r="AA43" s="112"/>
      <c r="AB43" s="112"/>
      <c r="AC43" s="112"/>
      <c r="AD43" s="54">
        <v>91</v>
      </c>
      <c r="AE43" s="618"/>
      <c r="AF43" s="618"/>
      <c r="AG43" s="618"/>
      <c r="AH43" s="618"/>
      <c r="AI43" s="587" t="s">
        <v>23</v>
      </c>
      <c r="AJ43" s="578" t="s">
        <v>23</v>
      </c>
      <c r="AK43" s="40" t="str">
        <f t="shared" si="0"/>
        <v>2019 год</v>
      </c>
      <c r="AL43" s="40" t="str">
        <f t="shared" si="1"/>
        <v>2019 год</v>
      </c>
      <c r="AM43" s="40">
        <f>1</f>
        <v>1</v>
      </c>
    </row>
    <row r="44" spans="1:39" x14ac:dyDescent="0.25">
      <c r="A44" s="574">
        <v>40</v>
      </c>
      <c r="B44" s="621" t="s">
        <v>929</v>
      </c>
      <c r="C44" s="100">
        <v>43748</v>
      </c>
      <c r="D44" s="578" t="s">
        <v>1179</v>
      </c>
      <c r="E44" s="54" t="s">
        <v>718</v>
      </c>
      <c r="F44" s="582" t="s">
        <v>1621</v>
      </c>
      <c r="G44" s="578" t="s">
        <v>864</v>
      </c>
      <c r="H44" s="584" t="s">
        <v>2172</v>
      </c>
      <c r="I44" s="98">
        <v>6825821599</v>
      </c>
      <c r="J44" s="264">
        <v>34967.370000000003</v>
      </c>
      <c r="K44" s="264"/>
      <c r="L44" s="264"/>
      <c r="M44" s="264"/>
      <c r="N44" s="264"/>
      <c r="O44" s="112">
        <v>43759</v>
      </c>
      <c r="P44" s="54">
        <v>291</v>
      </c>
      <c r="Q44" s="54">
        <v>291</v>
      </c>
      <c r="R44" s="54" t="s">
        <v>151</v>
      </c>
      <c r="S44" s="112">
        <v>43692</v>
      </c>
      <c r="T44" s="112" t="s">
        <v>984</v>
      </c>
      <c r="U44" s="112">
        <v>44290</v>
      </c>
      <c r="V44" s="112">
        <v>44381</v>
      </c>
      <c r="W44" s="112">
        <v>44473</v>
      </c>
      <c r="X44" s="112">
        <v>44411</v>
      </c>
      <c r="Y44" s="564">
        <v>132982359</v>
      </c>
      <c r="Z44" s="30" t="s">
        <v>1025</v>
      </c>
      <c r="AA44" s="112"/>
      <c r="AB44" s="112"/>
      <c r="AC44" s="112"/>
      <c r="AD44" s="54">
        <v>91</v>
      </c>
      <c r="AE44" s="618"/>
      <c r="AF44" s="618"/>
      <c r="AG44" s="618"/>
      <c r="AH44" s="618"/>
      <c r="AI44" s="587" t="s">
        <v>1179</v>
      </c>
      <c r="AJ44" s="578" t="s">
        <v>1179</v>
      </c>
      <c r="AK44" s="40" t="str">
        <f t="shared" si="0"/>
        <v>2019 год</v>
      </c>
      <c r="AL44" s="40" t="str">
        <f t="shared" si="1"/>
        <v>2019 год</v>
      </c>
      <c r="AM44" s="40">
        <f>1</f>
        <v>1</v>
      </c>
    </row>
    <row r="45" spans="1:39" ht="31.5" x14ac:dyDescent="0.25">
      <c r="A45" s="587" t="s">
        <v>28</v>
      </c>
      <c r="B45" s="621" t="s">
        <v>1473</v>
      </c>
      <c r="C45" s="100">
        <v>43936</v>
      </c>
      <c r="D45" s="578" t="s">
        <v>1179</v>
      </c>
      <c r="E45" s="54" t="s">
        <v>718</v>
      </c>
      <c r="F45" s="582" t="s">
        <v>1621</v>
      </c>
      <c r="G45" s="54" t="s">
        <v>864</v>
      </c>
      <c r="H45" s="584" t="s">
        <v>2172</v>
      </c>
      <c r="I45" s="98">
        <v>1323442100</v>
      </c>
      <c r="J45" s="264">
        <v>0</v>
      </c>
      <c r="K45" s="264"/>
      <c r="L45" s="264"/>
      <c r="M45" s="264"/>
      <c r="N45" s="264"/>
      <c r="O45" s="100">
        <v>43970</v>
      </c>
      <c r="P45" s="564">
        <v>0</v>
      </c>
      <c r="Q45" s="564">
        <v>0</v>
      </c>
      <c r="R45" s="578" t="s">
        <v>38</v>
      </c>
      <c r="S45" s="100">
        <v>43928</v>
      </c>
      <c r="T45" s="112">
        <v>44658</v>
      </c>
      <c r="U45" s="578"/>
      <c r="V45" s="578"/>
      <c r="W45" s="578"/>
      <c r="X45" s="100">
        <v>44411</v>
      </c>
      <c r="Y45" s="564">
        <v>26468842</v>
      </c>
      <c r="Z45" s="30" t="s">
        <v>2343</v>
      </c>
      <c r="AA45" s="100"/>
      <c r="AB45" s="100"/>
      <c r="AC45" s="100"/>
      <c r="AD45" s="54">
        <v>91</v>
      </c>
      <c r="AE45" s="618"/>
      <c r="AF45" s="618"/>
      <c r="AG45" s="618"/>
      <c r="AH45" s="618"/>
      <c r="AI45" s="587"/>
      <c r="AJ45" s="578" t="s">
        <v>1179</v>
      </c>
      <c r="AK45" s="40"/>
      <c r="AL45" s="40" t="str">
        <f t="shared" si="1"/>
        <v>2020 год</v>
      </c>
      <c r="AM45" s="40"/>
    </row>
    <row r="46" spans="1:39" x14ac:dyDescent="0.25">
      <c r="A46" s="574">
        <v>41</v>
      </c>
      <c r="B46" s="621" t="s">
        <v>930</v>
      </c>
      <c r="C46" s="100">
        <v>43748</v>
      </c>
      <c r="D46" s="578" t="s">
        <v>1179</v>
      </c>
      <c r="E46" s="578" t="s">
        <v>950</v>
      </c>
      <c r="F46" s="584" t="s">
        <v>1641</v>
      </c>
      <c r="G46" s="578" t="s">
        <v>947</v>
      </c>
      <c r="H46" s="584"/>
      <c r="I46" s="98">
        <v>5253239788</v>
      </c>
      <c r="J46" s="264">
        <v>38863.78</v>
      </c>
      <c r="K46" s="264"/>
      <c r="L46" s="264"/>
      <c r="M46" s="264"/>
      <c r="N46" s="264"/>
      <c r="O46" s="112">
        <v>43755</v>
      </c>
      <c r="P46" s="54">
        <v>346</v>
      </c>
      <c r="Q46" s="54">
        <v>348</v>
      </c>
      <c r="R46" s="54">
        <v>13</v>
      </c>
      <c r="S46" s="112">
        <v>43721</v>
      </c>
      <c r="T46" s="112">
        <v>44324</v>
      </c>
      <c r="U46" s="112">
        <v>44416</v>
      </c>
      <c r="V46" s="112">
        <v>44508</v>
      </c>
      <c r="W46" s="112"/>
      <c r="X46" s="112">
        <v>44494</v>
      </c>
      <c r="Y46" s="564">
        <v>93660141</v>
      </c>
      <c r="Z46" s="30" t="s">
        <v>1024</v>
      </c>
      <c r="AA46" s="112"/>
      <c r="AB46" s="112"/>
      <c r="AC46" s="112"/>
      <c r="AD46" s="54">
        <v>75</v>
      </c>
      <c r="AE46" s="618"/>
      <c r="AF46" s="618"/>
      <c r="AG46" s="618"/>
      <c r="AH46" s="618"/>
      <c r="AI46" s="587" t="s">
        <v>1179</v>
      </c>
      <c r="AJ46" s="578" t="s">
        <v>1179</v>
      </c>
      <c r="AK46" s="40" t="str">
        <f t="shared" si="0"/>
        <v>2019 год</v>
      </c>
      <c r="AL46" s="40" t="str">
        <f t="shared" si="1"/>
        <v>2019 год</v>
      </c>
      <c r="AM46" s="40">
        <f>1</f>
        <v>1</v>
      </c>
    </row>
    <row r="47" spans="1:39" x14ac:dyDescent="0.25">
      <c r="A47" s="574">
        <v>42</v>
      </c>
      <c r="B47" s="621" t="s">
        <v>931</v>
      </c>
      <c r="C47" s="100">
        <v>43777</v>
      </c>
      <c r="D47" s="578" t="s">
        <v>1179</v>
      </c>
      <c r="E47" s="578" t="s">
        <v>716</v>
      </c>
      <c r="F47" s="580">
        <v>960340000376</v>
      </c>
      <c r="G47" s="578" t="s">
        <v>1755</v>
      </c>
      <c r="H47" s="584" t="s">
        <v>2124</v>
      </c>
      <c r="I47" s="98">
        <v>2439912400</v>
      </c>
      <c r="J47" s="264">
        <v>19742.650000000001</v>
      </c>
      <c r="K47" s="264"/>
      <c r="L47" s="264"/>
      <c r="M47" s="264"/>
      <c r="N47" s="264"/>
      <c r="O47" s="112">
        <v>43802</v>
      </c>
      <c r="P47" s="54">
        <v>165</v>
      </c>
      <c r="Q47" s="54">
        <v>165</v>
      </c>
      <c r="R47" s="54">
        <v>9</v>
      </c>
      <c r="S47" s="112">
        <v>43635</v>
      </c>
      <c r="T47" s="112">
        <v>44123</v>
      </c>
      <c r="U47" s="112">
        <v>44215</v>
      </c>
      <c r="V47" s="112">
        <v>44305</v>
      </c>
      <c r="W47" s="112"/>
      <c r="X47" s="112">
        <v>44637</v>
      </c>
      <c r="Y47" s="564">
        <v>47152489</v>
      </c>
      <c r="Z47" s="30" t="s">
        <v>665</v>
      </c>
      <c r="AA47" s="564">
        <v>820792616</v>
      </c>
      <c r="AB47" s="112" t="s">
        <v>658</v>
      </c>
      <c r="AC47" s="112"/>
      <c r="AD47" s="54">
        <v>78</v>
      </c>
      <c r="AE47" s="618"/>
      <c r="AF47" s="618"/>
      <c r="AG47" s="618"/>
      <c r="AH47" s="618"/>
      <c r="AI47" s="587" t="s">
        <v>1179</v>
      </c>
      <c r="AJ47" s="578" t="s">
        <v>1179</v>
      </c>
      <c r="AK47" s="40" t="str">
        <f t="shared" si="0"/>
        <v>2019 год</v>
      </c>
      <c r="AL47" s="40" t="str">
        <f t="shared" si="1"/>
        <v>2019 год</v>
      </c>
      <c r="AM47" s="40">
        <f>1</f>
        <v>1</v>
      </c>
    </row>
    <row r="48" spans="1:39" ht="31.5" x14ac:dyDescent="0.25">
      <c r="A48" s="574">
        <v>43</v>
      </c>
      <c r="B48" s="621" t="s">
        <v>913</v>
      </c>
      <c r="C48" s="100">
        <v>43875</v>
      </c>
      <c r="D48" s="578" t="s">
        <v>1179</v>
      </c>
      <c r="E48" s="578" t="s">
        <v>948</v>
      </c>
      <c r="F48" s="584" t="s">
        <v>2103</v>
      </c>
      <c r="G48" s="578" t="s">
        <v>932</v>
      </c>
      <c r="H48" s="584" t="s">
        <v>2126</v>
      </c>
      <c r="I48" s="98">
        <v>1604244431</v>
      </c>
      <c r="J48" s="264">
        <v>9352.08</v>
      </c>
      <c r="K48" s="264"/>
      <c r="L48" s="264"/>
      <c r="M48" s="264"/>
      <c r="N48" s="264"/>
      <c r="O48" s="100">
        <v>43878</v>
      </c>
      <c r="P48" s="564">
        <v>106</v>
      </c>
      <c r="Q48" s="564">
        <v>106</v>
      </c>
      <c r="R48" s="578">
        <v>7</v>
      </c>
      <c r="S48" s="100">
        <v>43851</v>
      </c>
      <c r="T48" s="112">
        <v>44161</v>
      </c>
      <c r="U48" s="100">
        <v>44165</v>
      </c>
      <c r="V48" s="578"/>
      <c r="W48" s="578"/>
      <c r="X48" s="100">
        <v>44165</v>
      </c>
      <c r="Y48" s="564">
        <v>44498721</v>
      </c>
      <c r="Z48" s="30" t="s">
        <v>1077</v>
      </c>
      <c r="AA48" s="112"/>
      <c r="AB48" s="112"/>
      <c r="AC48" s="112"/>
      <c r="AD48" s="54">
        <v>91</v>
      </c>
      <c r="AE48" s="618"/>
      <c r="AF48" s="618"/>
      <c r="AG48" s="618"/>
      <c r="AH48" s="618"/>
      <c r="AI48" s="587" t="s">
        <v>1179</v>
      </c>
      <c r="AJ48" s="578" t="s">
        <v>1179</v>
      </c>
      <c r="AK48" s="40" t="str">
        <f t="shared" si="0"/>
        <v>2020 год</v>
      </c>
      <c r="AL48" s="40" t="str">
        <f t="shared" si="1"/>
        <v>2020 год</v>
      </c>
      <c r="AM48" s="40">
        <f>1</f>
        <v>1</v>
      </c>
    </row>
    <row r="49" spans="1:39" ht="31.5" x14ac:dyDescent="0.25">
      <c r="A49" s="574">
        <v>44</v>
      </c>
      <c r="B49" s="621" t="s">
        <v>912</v>
      </c>
      <c r="C49" s="100">
        <v>43875</v>
      </c>
      <c r="D49" s="578" t="s">
        <v>1179</v>
      </c>
      <c r="E49" s="578" t="s">
        <v>948</v>
      </c>
      <c r="F49" s="584" t="s">
        <v>2103</v>
      </c>
      <c r="G49" s="578" t="s">
        <v>932</v>
      </c>
      <c r="H49" s="584" t="s">
        <v>2126</v>
      </c>
      <c r="I49" s="98">
        <v>1643232216</v>
      </c>
      <c r="J49" s="264">
        <v>9309.83</v>
      </c>
      <c r="K49" s="264"/>
      <c r="L49" s="264"/>
      <c r="M49" s="264"/>
      <c r="N49" s="264"/>
      <c r="O49" s="100">
        <v>43878</v>
      </c>
      <c r="P49" s="564">
        <v>107</v>
      </c>
      <c r="Q49" s="564">
        <v>107</v>
      </c>
      <c r="R49" s="578">
        <v>7</v>
      </c>
      <c r="S49" s="100">
        <v>43852</v>
      </c>
      <c r="T49" s="112">
        <v>44161</v>
      </c>
      <c r="U49" s="100">
        <v>44165</v>
      </c>
      <c r="V49" s="578"/>
      <c r="W49" s="578"/>
      <c r="X49" s="100">
        <v>44165</v>
      </c>
      <c r="Y49" s="573"/>
      <c r="Z49" s="30" t="s">
        <v>1077</v>
      </c>
      <c r="AA49" s="112"/>
      <c r="AB49" s="112"/>
      <c r="AC49" s="112"/>
      <c r="AD49" s="54">
        <v>91</v>
      </c>
      <c r="AE49" s="618"/>
      <c r="AF49" s="618"/>
      <c r="AG49" s="618"/>
      <c r="AH49" s="618"/>
      <c r="AI49" s="587" t="s">
        <v>1179</v>
      </c>
      <c r="AJ49" s="578" t="s">
        <v>1179</v>
      </c>
      <c r="AK49" s="40" t="str">
        <f t="shared" si="0"/>
        <v>2020 год</v>
      </c>
      <c r="AL49" s="40" t="str">
        <f t="shared" si="1"/>
        <v>2020 год</v>
      </c>
      <c r="AM49" s="40">
        <f>1</f>
        <v>1</v>
      </c>
    </row>
    <row r="50" spans="1:39" ht="47.25" x14ac:dyDescent="0.25">
      <c r="A50" s="574">
        <v>45</v>
      </c>
      <c r="B50" s="621" t="s">
        <v>911</v>
      </c>
      <c r="C50" s="100">
        <v>43860</v>
      </c>
      <c r="D50" s="578" t="s">
        <v>753</v>
      </c>
      <c r="E50" s="578" t="s">
        <v>949</v>
      </c>
      <c r="F50" s="582" t="s">
        <v>2100</v>
      </c>
      <c r="G50" s="578" t="s">
        <v>933</v>
      </c>
      <c r="H50" s="584" t="s">
        <v>2210</v>
      </c>
      <c r="I50" s="98">
        <v>7211511710</v>
      </c>
      <c r="J50" s="264">
        <v>78453.75</v>
      </c>
      <c r="K50" s="264"/>
      <c r="L50" s="264"/>
      <c r="M50" s="264"/>
      <c r="N50" s="264"/>
      <c r="O50" s="100">
        <v>43862</v>
      </c>
      <c r="P50" s="564">
        <v>1122</v>
      </c>
      <c r="Q50" s="564">
        <v>1248</v>
      </c>
      <c r="R50" s="578">
        <v>9</v>
      </c>
      <c r="S50" s="100">
        <v>43711</v>
      </c>
      <c r="T50" s="112">
        <v>44187</v>
      </c>
      <c r="U50" s="578"/>
      <c r="V50" s="578"/>
      <c r="W50" s="578"/>
      <c r="X50" s="100">
        <v>44187</v>
      </c>
      <c r="Y50" s="564">
        <v>129729726</v>
      </c>
      <c r="Z50" s="30" t="s">
        <v>2377</v>
      </c>
      <c r="AA50" s="112"/>
      <c r="AB50" s="112"/>
      <c r="AC50" s="112"/>
      <c r="AD50" s="54">
        <v>84</v>
      </c>
      <c r="AE50" s="618"/>
      <c r="AF50" s="618"/>
      <c r="AG50" s="618"/>
      <c r="AH50" s="618"/>
      <c r="AI50" s="587" t="s">
        <v>23</v>
      </c>
      <c r="AJ50" s="578" t="s">
        <v>23</v>
      </c>
      <c r="AK50" s="40" t="str">
        <f t="shared" si="0"/>
        <v>2020 год</v>
      </c>
      <c r="AL50" s="40" t="str">
        <f t="shared" si="1"/>
        <v>2020 год</v>
      </c>
      <c r="AM50" s="40">
        <f>1</f>
        <v>1</v>
      </c>
    </row>
    <row r="51" spans="1:39" ht="31.5" x14ac:dyDescent="0.25">
      <c r="A51" s="574">
        <v>46</v>
      </c>
      <c r="B51" s="621" t="s">
        <v>910</v>
      </c>
      <c r="C51" s="100">
        <v>43860</v>
      </c>
      <c r="D51" s="578" t="s">
        <v>753</v>
      </c>
      <c r="E51" s="578" t="s">
        <v>949</v>
      </c>
      <c r="F51" s="582" t="s">
        <v>2100</v>
      </c>
      <c r="G51" s="578" t="s">
        <v>934</v>
      </c>
      <c r="H51" s="584" t="s">
        <v>2195</v>
      </c>
      <c r="I51" s="98">
        <v>4696993688</v>
      </c>
      <c r="J51" s="264">
        <v>35931.5</v>
      </c>
      <c r="K51" s="264"/>
      <c r="L51" s="264"/>
      <c r="M51" s="264"/>
      <c r="N51" s="264"/>
      <c r="O51" s="100">
        <v>43862</v>
      </c>
      <c r="P51" s="564">
        <v>576</v>
      </c>
      <c r="Q51" s="564">
        <v>624</v>
      </c>
      <c r="R51" s="578">
        <v>12</v>
      </c>
      <c r="S51" s="100">
        <v>43843</v>
      </c>
      <c r="T51" s="112">
        <v>44188</v>
      </c>
      <c r="U51" s="100"/>
      <c r="V51" s="578"/>
      <c r="W51" s="578"/>
      <c r="X51" s="100">
        <v>44188</v>
      </c>
      <c r="Y51" s="564">
        <v>93939874</v>
      </c>
      <c r="Z51" s="30" t="s">
        <v>1076</v>
      </c>
      <c r="AA51" s="112"/>
      <c r="AB51" s="112"/>
      <c r="AC51" s="112"/>
      <c r="AD51" s="54">
        <v>84</v>
      </c>
      <c r="AE51" s="618"/>
      <c r="AF51" s="618"/>
      <c r="AG51" s="618"/>
      <c r="AH51" s="618"/>
      <c r="AI51" s="587" t="s">
        <v>23</v>
      </c>
      <c r="AJ51" s="578" t="s">
        <v>23</v>
      </c>
      <c r="AK51" s="40" t="str">
        <f t="shared" si="0"/>
        <v>2020 год</v>
      </c>
      <c r="AL51" s="40" t="str">
        <f t="shared" si="1"/>
        <v>2020 год</v>
      </c>
      <c r="AM51" s="40">
        <f>1</f>
        <v>1</v>
      </c>
    </row>
    <row r="52" spans="1:39" x14ac:dyDescent="0.25">
      <c r="A52" s="574">
        <v>47</v>
      </c>
      <c r="B52" s="621" t="s">
        <v>1075</v>
      </c>
      <c r="C52" s="100">
        <v>43970</v>
      </c>
      <c r="D52" s="578" t="s">
        <v>176</v>
      </c>
      <c r="E52" s="578" t="s">
        <v>892</v>
      </c>
      <c r="F52" s="584" t="s">
        <v>2095</v>
      </c>
      <c r="G52" s="578" t="s">
        <v>868</v>
      </c>
      <c r="H52" s="584" t="s">
        <v>2174</v>
      </c>
      <c r="I52" s="98">
        <v>405171695</v>
      </c>
      <c r="J52" s="264">
        <v>2903</v>
      </c>
      <c r="K52" s="264"/>
      <c r="L52" s="264"/>
      <c r="M52" s="264"/>
      <c r="N52" s="264"/>
      <c r="O52" s="100">
        <v>43992</v>
      </c>
      <c r="P52" s="564">
        <v>40</v>
      </c>
      <c r="Q52" s="564">
        <v>40</v>
      </c>
      <c r="R52" s="578">
        <v>4</v>
      </c>
      <c r="S52" s="100">
        <v>43903</v>
      </c>
      <c r="T52" s="112" t="s">
        <v>985</v>
      </c>
      <c r="U52" s="100">
        <v>44222</v>
      </c>
      <c r="V52" s="578"/>
      <c r="W52" s="578"/>
      <c r="X52" s="100">
        <v>44196</v>
      </c>
      <c r="Y52" s="564">
        <v>6007292</v>
      </c>
      <c r="Z52" s="30" t="s">
        <v>1174</v>
      </c>
      <c r="AA52" s="112"/>
      <c r="AB52" s="112"/>
      <c r="AC52" s="112"/>
      <c r="AD52" s="54">
        <v>80</v>
      </c>
      <c r="AE52" s="618"/>
      <c r="AF52" s="618"/>
      <c r="AG52" s="618"/>
      <c r="AH52" s="618"/>
      <c r="AI52" s="587" t="s">
        <v>176</v>
      </c>
      <c r="AJ52" s="578" t="s">
        <v>176</v>
      </c>
      <c r="AK52" s="40" t="str">
        <f t="shared" si="0"/>
        <v>2020 год</v>
      </c>
      <c r="AL52" s="40" t="str">
        <f t="shared" si="1"/>
        <v>2020 год</v>
      </c>
      <c r="AM52" s="40">
        <f>1</f>
        <v>1</v>
      </c>
    </row>
    <row r="53" spans="1:39" x14ac:dyDescent="0.25">
      <c r="A53" s="587">
        <v>48</v>
      </c>
      <c r="B53" s="621" t="s">
        <v>909</v>
      </c>
      <c r="C53" s="100">
        <v>44070</v>
      </c>
      <c r="D53" s="578" t="s">
        <v>174</v>
      </c>
      <c r="E53" s="54" t="s">
        <v>693</v>
      </c>
      <c r="F53" s="584" t="s">
        <v>1643</v>
      </c>
      <c r="G53" s="54" t="s">
        <v>876</v>
      </c>
      <c r="H53" s="582" t="s">
        <v>2030</v>
      </c>
      <c r="I53" s="98">
        <v>2099777543</v>
      </c>
      <c r="J53" s="264">
        <v>10658</v>
      </c>
      <c r="K53" s="264"/>
      <c r="L53" s="264"/>
      <c r="M53" s="264"/>
      <c r="N53" s="264"/>
      <c r="O53" s="100">
        <v>44088</v>
      </c>
      <c r="P53" s="564">
        <v>140</v>
      </c>
      <c r="Q53" s="564">
        <v>140</v>
      </c>
      <c r="R53" s="578">
        <v>5</v>
      </c>
      <c r="S53" s="100">
        <v>43999</v>
      </c>
      <c r="T53" s="112">
        <v>44244</v>
      </c>
      <c r="U53" s="100">
        <v>44303</v>
      </c>
      <c r="V53" s="578"/>
      <c r="W53" s="578"/>
      <c r="X53" s="100">
        <v>44301</v>
      </c>
      <c r="Y53" s="564">
        <v>39779893</v>
      </c>
      <c r="Z53" s="35" t="s">
        <v>1073</v>
      </c>
      <c r="AA53" s="100"/>
      <c r="AB53" s="100"/>
      <c r="AC53" s="100"/>
      <c r="AD53" s="54">
        <v>62</v>
      </c>
      <c r="AE53" s="618"/>
      <c r="AF53" s="618"/>
      <c r="AG53" s="618"/>
      <c r="AH53" s="618"/>
      <c r="AI53" s="587" t="s">
        <v>174</v>
      </c>
      <c r="AJ53" s="578" t="s">
        <v>174</v>
      </c>
      <c r="AK53" s="40" t="str">
        <f t="shared" si="0"/>
        <v>2020 год</v>
      </c>
      <c r="AL53" s="40" t="str">
        <f t="shared" si="1"/>
        <v>2020 год</v>
      </c>
      <c r="AM53" s="40">
        <f>1</f>
        <v>1</v>
      </c>
    </row>
    <row r="54" spans="1:39" ht="31.5" x14ac:dyDescent="0.25">
      <c r="A54" s="587">
        <v>49</v>
      </c>
      <c r="B54" s="621" t="s">
        <v>908</v>
      </c>
      <c r="C54" s="100">
        <v>43875</v>
      </c>
      <c r="D54" s="578" t="s">
        <v>1179</v>
      </c>
      <c r="E54" s="54" t="s">
        <v>695</v>
      </c>
      <c r="F54" s="580">
        <v>960340000376</v>
      </c>
      <c r="G54" s="578" t="s">
        <v>717</v>
      </c>
      <c r="H54" s="584" t="s">
        <v>1967</v>
      </c>
      <c r="I54" s="98">
        <v>2565255008</v>
      </c>
      <c r="J54" s="264">
        <v>18164</v>
      </c>
      <c r="K54" s="264"/>
      <c r="L54" s="264"/>
      <c r="M54" s="264"/>
      <c r="N54" s="264"/>
      <c r="O54" s="100">
        <v>43889</v>
      </c>
      <c r="P54" s="564">
        <v>128</v>
      </c>
      <c r="Q54" s="564">
        <v>128</v>
      </c>
      <c r="R54" s="578">
        <v>9.1199999999999992</v>
      </c>
      <c r="S54" s="100">
        <v>43803</v>
      </c>
      <c r="T54" s="112">
        <v>44160</v>
      </c>
      <c r="U54" s="100">
        <v>44252</v>
      </c>
      <c r="V54" s="100">
        <v>44341</v>
      </c>
      <c r="W54" s="578"/>
      <c r="X54" s="100">
        <v>44301</v>
      </c>
      <c r="Y54" s="564">
        <v>41256420</v>
      </c>
      <c r="Z54" s="35" t="s">
        <v>1072</v>
      </c>
      <c r="AA54" s="100"/>
      <c r="AB54" s="100"/>
      <c r="AC54" s="100"/>
      <c r="AD54" s="54">
        <v>78</v>
      </c>
      <c r="AE54" s="618"/>
      <c r="AF54" s="618"/>
      <c r="AG54" s="618"/>
      <c r="AH54" s="618"/>
      <c r="AI54" s="587" t="s">
        <v>1179</v>
      </c>
      <c r="AJ54" s="578" t="s">
        <v>1179</v>
      </c>
      <c r="AK54" s="40" t="str">
        <f t="shared" si="0"/>
        <v>2020 год</v>
      </c>
      <c r="AL54" s="40" t="str">
        <f t="shared" si="1"/>
        <v>2020 год</v>
      </c>
      <c r="AM54" s="40">
        <f>1</f>
        <v>1</v>
      </c>
    </row>
    <row r="55" spans="1:39" ht="31.5" x14ac:dyDescent="0.25">
      <c r="A55" s="587">
        <v>50</v>
      </c>
      <c r="B55" s="621" t="s">
        <v>907</v>
      </c>
      <c r="C55" s="100">
        <v>43927</v>
      </c>
      <c r="D55" s="578" t="s">
        <v>753</v>
      </c>
      <c r="E55" s="54" t="s">
        <v>715</v>
      </c>
      <c r="F55" s="584" t="s">
        <v>1628</v>
      </c>
      <c r="G55" s="54" t="s">
        <v>817</v>
      </c>
      <c r="H55" s="582" t="s">
        <v>1628</v>
      </c>
      <c r="I55" s="98">
        <v>3041291058</v>
      </c>
      <c r="J55" s="264">
        <v>15462.72</v>
      </c>
      <c r="K55" s="264"/>
      <c r="L55" s="264"/>
      <c r="M55" s="264"/>
      <c r="N55" s="264"/>
      <c r="O55" s="100">
        <v>43950</v>
      </c>
      <c r="P55" s="564">
        <v>288</v>
      </c>
      <c r="Q55" s="564">
        <v>283</v>
      </c>
      <c r="R55" s="578">
        <v>9</v>
      </c>
      <c r="S55" s="100">
        <v>43866</v>
      </c>
      <c r="T55" s="112">
        <v>44345</v>
      </c>
      <c r="U55" s="100">
        <v>44437</v>
      </c>
      <c r="V55" s="578"/>
      <c r="W55" s="578"/>
      <c r="X55" s="100">
        <v>44329</v>
      </c>
      <c r="Y55" s="564">
        <v>60823921</v>
      </c>
      <c r="Z55" s="35" t="s">
        <v>1071</v>
      </c>
      <c r="AA55" s="100"/>
      <c r="AB55" s="100"/>
      <c r="AC55" s="100"/>
      <c r="AD55" s="54">
        <v>70</v>
      </c>
      <c r="AE55" s="618"/>
      <c r="AF55" s="618"/>
      <c r="AG55" s="618"/>
      <c r="AH55" s="618"/>
      <c r="AI55" s="587" t="s">
        <v>23</v>
      </c>
      <c r="AJ55" s="578" t="s">
        <v>23</v>
      </c>
      <c r="AK55" s="40" t="str">
        <f t="shared" si="0"/>
        <v>2020 год</v>
      </c>
      <c r="AL55" s="40" t="str">
        <f t="shared" si="1"/>
        <v>2020 год</v>
      </c>
      <c r="AM55" s="40">
        <f>1</f>
        <v>1</v>
      </c>
    </row>
    <row r="56" spans="1:39" x14ac:dyDescent="0.25">
      <c r="A56" s="587">
        <v>51</v>
      </c>
      <c r="B56" s="621" t="s">
        <v>1067</v>
      </c>
      <c r="C56" s="100">
        <v>43481</v>
      </c>
      <c r="D56" s="578" t="s">
        <v>1179</v>
      </c>
      <c r="E56" s="54" t="s">
        <v>716</v>
      </c>
      <c r="F56" s="580">
        <v>960340000376</v>
      </c>
      <c r="G56" s="54" t="s">
        <v>865</v>
      </c>
      <c r="H56" s="582" t="s">
        <v>1670</v>
      </c>
      <c r="I56" s="98">
        <v>1991352860</v>
      </c>
      <c r="J56" s="264">
        <v>10697.91</v>
      </c>
      <c r="K56" s="264"/>
      <c r="L56" s="264"/>
      <c r="M56" s="264"/>
      <c r="N56" s="264"/>
      <c r="O56" s="100">
        <v>43867</v>
      </c>
      <c r="P56" s="564">
        <v>78</v>
      </c>
      <c r="Q56" s="564">
        <v>78</v>
      </c>
      <c r="R56" s="578">
        <v>7</v>
      </c>
      <c r="S56" s="100">
        <v>43783</v>
      </c>
      <c r="T56" s="112">
        <v>44227</v>
      </c>
      <c r="U56" s="578"/>
      <c r="V56" s="578"/>
      <c r="W56" s="578"/>
      <c r="X56" s="100">
        <v>44214</v>
      </c>
      <c r="Y56" s="564">
        <v>38237857</v>
      </c>
      <c r="Z56" s="35" t="s">
        <v>2363</v>
      </c>
      <c r="AA56" s="100"/>
      <c r="AB56" s="100"/>
      <c r="AC56" s="100"/>
      <c r="AD56" s="54">
        <v>78</v>
      </c>
      <c r="AE56" s="618"/>
      <c r="AF56" s="618"/>
      <c r="AG56" s="618"/>
      <c r="AH56" s="618"/>
      <c r="AI56" s="587" t="s">
        <v>1179</v>
      </c>
      <c r="AJ56" s="578" t="s">
        <v>1179</v>
      </c>
      <c r="AK56" s="40" t="str">
        <f t="shared" si="0"/>
        <v>2020 год</v>
      </c>
      <c r="AL56" s="40" t="str">
        <f t="shared" si="1"/>
        <v>2020 год</v>
      </c>
      <c r="AM56" s="40">
        <f>1</f>
        <v>1</v>
      </c>
    </row>
    <row r="57" spans="1:39" x14ac:dyDescent="0.25">
      <c r="A57" s="587">
        <v>52</v>
      </c>
      <c r="B57" s="621" t="s">
        <v>1066</v>
      </c>
      <c r="C57" s="100">
        <v>43860</v>
      </c>
      <c r="D57" s="578" t="s">
        <v>1179</v>
      </c>
      <c r="E57" s="54" t="s">
        <v>718</v>
      </c>
      <c r="F57" s="582" t="s">
        <v>1621</v>
      </c>
      <c r="G57" s="54" t="s">
        <v>936</v>
      </c>
      <c r="H57" s="582" t="s">
        <v>2202</v>
      </c>
      <c r="I57" s="98">
        <v>5762175734</v>
      </c>
      <c r="J57" s="264">
        <v>27870</v>
      </c>
      <c r="K57" s="264"/>
      <c r="L57" s="264"/>
      <c r="M57" s="264"/>
      <c r="N57" s="264"/>
      <c r="O57" s="100">
        <v>43866</v>
      </c>
      <c r="P57" s="564">
        <v>348</v>
      </c>
      <c r="Q57" s="564">
        <v>348</v>
      </c>
      <c r="R57" s="578">
        <v>9</v>
      </c>
      <c r="S57" s="100">
        <v>43769</v>
      </c>
      <c r="T57" s="112">
        <v>44469</v>
      </c>
      <c r="U57" s="578"/>
      <c r="V57" s="578"/>
      <c r="W57" s="578"/>
      <c r="X57" s="100">
        <v>44352</v>
      </c>
      <c r="Y57" s="564">
        <v>110205578</v>
      </c>
      <c r="Z57" s="35" t="s">
        <v>1068</v>
      </c>
      <c r="AA57" s="100"/>
      <c r="AB57" s="100"/>
      <c r="AC57" s="100"/>
      <c r="AD57" s="54">
        <v>91</v>
      </c>
      <c r="AE57" s="618"/>
      <c r="AF57" s="618"/>
      <c r="AG57" s="618"/>
      <c r="AH57" s="618"/>
      <c r="AI57" s="587" t="s">
        <v>1179</v>
      </c>
      <c r="AJ57" s="578" t="s">
        <v>1179</v>
      </c>
      <c r="AK57" s="40" t="str">
        <f t="shared" si="0"/>
        <v>2020 год</v>
      </c>
      <c r="AL57" s="40" t="str">
        <f t="shared" si="1"/>
        <v>2020 год</v>
      </c>
      <c r="AM57" s="40">
        <f>1</f>
        <v>1</v>
      </c>
    </row>
    <row r="58" spans="1:39" ht="31.5" x14ac:dyDescent="0.25">
      <c r="A58" s="587" t="s">
        <v>28</v>
      </c>
      <c r="B58" s="621" t="s">
        <v>1472</v>
      </c>
      <c r="C58" s="100">
        <v>44007</v>
      </c>
      <c r="D58" s="578" t="s">
        <v>1179</v>
      </c>
      <c r="E58" s="54" t="s">
        <v>718</v>
      </c>
      <c r="F58" s="582" t="s">
        <v>1621</v>
      </c>
      <c r="G58" s="54" t="s">
        <v>936</v>
      </c>
      <c r="H58" s="582" t="s">
        <v>2202</v>
      </c>
      <c r="I58" s="98">
        <v>737891954</v>
      </c>
      <c r="J58" s="240">
        <v>0</v>
      </c>
      <c r="K58" s="240"/>
      <c r="L58" s="240"/>
      <c r="M58" s="240"/>
      <c r="N58" s="240"/>
      <c r="O58" s="100">
        <v>44025</v>
      </c>
      <c r="P58" s="588">
        <v>0</v>
      </c>
      <c r="Q58" s="588">
        <v>0</v>
      </c>
      <c r="R58" s="588" t="s">
        <v>28</v>
      </c>
      <c r="S58" s="100">
        <v>43983</v>
      </c>
      <c r="T58" s="112">
        <v>44469</v>
      </c>
      <c r="U58" s="578"/>
      <c r="V58" s="578"/>
      <c r="W58" s="578"/>
      <c r="X58" s="100">
        <v>44352</v>
      </c>
      <c r="Y58" s="564">
        <v>14757839</v>
      </c>
      <c r="Z58" s="35" t="s">
        <v>1069</v>
      </c>
      <c r="AA58" s="100"/>
      <c r="AB58" s="100"/>
      <c r="AC58" s="100"/>
      <c r="AD58" s="54">
        <v>91</v>
      </c>
      <c r="AE58" s="618"/>
      <c r="AF58" s="618"/>
      <c r="AG58" s="618"/>
      <c r="AH58" s="618"/>
      <c r="AI58" s="587"/>
      <c r="AJ58" s="578" t="s">
        <v>1179</v>
      </c>
      <c r="AK58" s="40"/>
      <c r="AL58" s="40" t="str">
        <f t="shared" si="1"/>
        <v>2020 год</v>
      </c>
      <c r="AM58" s="40"/>
    </row>
    <row r="59" spans="1:39" x14ac:dyDescent="0.25">
      <c r="A59" s="587">
        <v>53</v>
      </c>
      <c r="B59" s="621" t="s">
        <v>906</v>
      </c>
      <c r="C59" s="100">
        <v>43998</v>
      </c>
      <c r="D59" s="578" t="s">
        <v>753</v>
      </c>
      <c r="E59" s="54" t="s">
        <v>685</v>
      </c>
      <c r="F59" s="584" t="s">
        <v>1955</v>
      </c>
      <c r="G59" s="54" t="s">
        <v>688</v>
      </c>
      <c r="H59" s="582" t="s">
        <v>2187</v>
      </c>
      <c r="I59" s="98">
        <v>7001848587</v>
      </c>
      <c r="J59" s="264">
        <v>55789.440000000002</v>
      </c>
      <c r="K59" s="264"/>
      <c r="L59" s="264"/>
      <c r="M59" s="264"/>
      <c r="N59" s="264"/>
      <c r="O59" s="100">
        <v>43999</v>
      </c>
      <c r="P59" s="564">
        <v>864</v>
      </c>
      <c r="Q59" s="564">
        <v>960</v>
      </c>
      <c r="R59" s="578">
        <v>9</v>
      </c>
      <c r="S59" s="100">
        <v>43977</v>
      </c>
      <c r="T59" s="112">
        <v>44357</v>
      </c>
      <c r="U59" s="100">
        <v>44460</v>
      </c>
      <c r="V59" s="578"/>
      <c r="W59" s="578"/>
      <c r="X59" s="100">
        <v>44449</v>
      </c>
      <c r="Y59" s="564">
        <v>140036972</v>
      </c>
      <c r="Z59" s="35" t="s">
        <v>1065</v>
      </c>
      <c r="AA59" s="100"/>
      <c r="AB59" s="100"/>
      <c r="AC59" s="100"/>
      <c r="AD59" s="54">
        <v>95</v>
      </c>
      <c r="AE59" s="618"/>
      <c r="AF59" s="618"/>
      <c r="AG59" s="618"/>
      <c r="AH59" s="618"/>
      <c r="AI59" s="587" t="s">
        <v>23</v>
      </c>
      <c r="AJ59" s="578" t="s">
        <v>23</v>
      </c>
      <c r="AK59" s="40" t="str">
        <f t="shared" si="0"/>
        <v>2020 год</v>
      </c>
      <c r="AL59" s="40" t="str">
        <f t="shared" si="1"/>
        <v>2020 год</v>
      </c>
      <c r="AM59" s="40">
        <f>1</f>
        <v>1</v>
      </c>
    </row>
    <row r="60" spans="1:39" x14ac:dyDescent="0.25">
      <c r="A60" s="587">
        <v>54</v>
      </c>
      <c r="B60" s="621" t="s">
        <v>1062</v>
      </c>
      <c r="C60" s="100">
        <v>43860</v>
      </c>
      <c r="D60" s="578" t="s">
        <v>1179</v>
      </c>
      <c r="E60" s="54" t="s">
        <v>718</v>
      </c>
      <c r="F60" s="582" t="s">
        <v>1621</v>
      </c>
      <c r="G60" s="54" t="s">
        <v>937</v>
      </c>
      <c r="H60" s="582" t="s">
        <v>2164</v>
      </c>
      <c r="I60" s="98">
        <v>5840045029</v>
      </c>
      <c r="J60" s="264">
        <v>31002.69</v>
      </c>
      <c r="K60" s="264"/>
      <c r="L60" s="264"/>
      <c r="M60" s="264"/>
      <c r="N60" s="264"/>
      <c r="O60" s="100">
        <v>43866</v>
      </c>
      <c r="P60" s="564">
        <v>334</v>
      </c>
      <c r="Q60" s="564">
        <v>334</v>
      </c>
      <c r="R60" s="578" t="s">
        <v>101</v>
      </c>
      <c r="S60" s="100">
        <v>43839</v>
      </c>
      <c r="T60" s="112">
        <v>44570</v>
      </c>
      <c r="U60" s="578"/>
      <c r="V60" s="578"/>
      <c r="W60" s="578"/>
      <c r="X60" s="100">
        <v>44421</v>
      </c>
      <c r="Y60" s="564">
        <v>115050538</v>
      </c>
      <c r="Z60" s="35" t="s">
        <v>1063</v>
      </c>
      <c r="AA60" s="100"/>
      <c r="AB60" s="100"/>
      <c r="AC60" s="100"/>
      <c r="AD60" s="54">
        <v>91</v>
      </c>
      <c r="AE60" s="618"/>
      <c r="AF60" s="618"/>
      <c r="AG60" s="618"/>
      <c r="AH60" s="618"/>
      <c r="AI60" s="587" t="s">
        <v>1179</v>
      </c>
      <c r="AJ60" s="578" t="s">
        <v>1179</v>
      </c>
      <c r="AK60" s="40" t="str">
        <f t="shared" si="0"/>
        <v>2020 год</v>
      </c>
      <c r="AL60" s="40" t="str">
        <f t="shared" si="1"/>
        <v>2020 год</v>
      </c>
      <c r="AM60" s="40">
        <f>1</f>
        <v>1</v>
      </c>
    </row>
    <row r="61" spans="1:39" ht="31.5" x14ac:dyDescent="0.25">
      <c r="A61" s="587">
        <v>55</v>
      </c>
      <c r="B61" s="621" t="s">
        <v>905</v>
      </c>
      <c r="C61" s="100">
        <v>44053</v>
      </c>
      <c r="D61" s="578" t="s">
        <v>1179</v>
      </c>
      <c r="E61" s="54" t="s">
        <v>716</v>
      </c>
      <c r="F61" s="580">
        <v>960340000376</v>
      </c>
      <c r="G61" s="54" t="s">
        <v>938</v>
      </c>
      <c r="H61" s="584" t="s">
        <v>2120</v>
      </c>
      <c r="I61" s="98">
        <v>2015148840</v>
      </c>
      <c r="J61" s="264">
        <v>12132.8</v>
      </c>
      <c r="K61" s="264"/>
      <c r="L61" s="264"/>
      <c r="M61" s="264"/>
      <c r="N61" s="264"/>
      <c r="O61" s="100">
        <v>44063</v>
      </c>
      <c r="P61" s="564">
        <v>88</v>
      </c>
      <c r="Q61" s="564">
        <v>88</v>
      </c>
      <c r="R61" s="578">
        <v>10</v>
      </c>
      <c r="S61" s="100">
        <v>43955</v>
      </c>
      <c r="T61" s="112">
        <v>44620</v>
      </c>
      <c r="U61" s="578"/>
      <c r="V61" s="578"/>
      <c r="W61" s="578"/>
      <c r="X61" s="100">
        <v>44377</v>
      </c>
      <c r="Y61" s="564">
        <v>34813216</v>
      </c>
      <c r="Z61" s="30" t="s">
        <v>2357</v>
      </c>
      <c r="AA61" s="100"/>
      <c r="AB61" s="100"/>
      <c r="AC61" s="100"/>
      <c r="AD61" s="54">
        <v>84</v>
      </c>
      <c r="AE61" s="618"/>
      <c r="AF61" s="618"/>
      <c r="AG61" s="618"/>
      <c r="AH61" s="618"/>
      <c r="AI61" s="587" t="s">
        <v>1179</v>
      </c>
      <c r="AJ61" s="578" t="s">
        <v>1179</v>
      </c>
      <c r="AK61" s="40" t="str">
        <f t="shared" si="0"/>
        <v>2020 год</v>
      </c>
      <c r="AL61" s="40" t="str">
        <f t="shared" si="1"/>
        <v>2020 год</v>
      </c>
      <c r="AM61" s="40">
        <f>1</f>
        <v>1</v>
      </c>
    </row>
    <row r="62" spans="1:39" ht="47.25" x14ac:dyDescent="0.25">
      <c r="A62" s="587">
        <v>56</v>
      </c>
      <c r="B62" s="621" t="s">
        <v>904</v>
      </c>
      <c r="C62" s="100">
        <v>44111</v>
      </c>
      <c r="D62" s="578" t="s">
        <v>1179</v>
      </c>
      <c r="E62" s="54" t="s">
        <v>716</v>
      </c>
      <c r="F62" s="580">
        <v>960340000376</v>
      </c>
      <c r="G62" s="54" t="s">
        <v>865</v>
      </c>
      <c r="H62" s="582" t="s">
        <v>1670</v>
      </c>
      <c r="I62" s="98">
        <v>3066214650</v>
      </c>
      <c r="J62" s="264">
        <v>15109.69</v>
      </c>
      <c r="K62" s="264"/>
      <c r="L62" s="264"/>
      <c r="M62" s="264"/>
      <c r="N62" s="264"/>
      <c r="O62" s="100">
        <v>44154</v>
      </c>
      <c r="P62" s="564">
        <v>119</v>
      </c>
      <c r="Q62" s="564">
        <v>119</v>
      </c>
      <c r="R62" s="578">
        <v>9.1199999999999992</v>
      </c>
      <c r="S62" s="100">
        <v>43998</v>
      </c>
      <c r="T62" s="112">
        <v>44592</v>
      </c>
      <c r="U62" s="100"/>
      <c r="V62" s="578"/>
      <c r="W62" s="578"/>
      <c r="X62" s="100">
        <v>44452</v>
      </c>
      <c r="Y62" s="564">
        <v>52444166</v>
      </c>
      <c r="Z62" s="30" t="s">
        <v>2427</v>
      </c>
      <c r="AA62" s="100"/>
      <c r="AB62" s="100"/>
      <c r="AC62" s="100"/>
      <c r="AD62" s="54">
        <v>84</v>
      </c>
      <c r="AE62" s="618"/>
      <c r="AF62" s="618"/>
      <c r="AG62" s="618"/>
      <c r="AH62" s="618"/>
      <c r="AI62" s="587" t="s">
        <v>1179</v>
      </c>
      <c r="AJ62" s="578" t="s">
        <v>1179</v>
      </c>
      <c r="AK62" s="40" t="str">
        <f t="shared" si="0"/>
        <v>2020 год</v>
      </c>
      <c r="AL62" s="40" t="str">
        <f t="shared" si="1"/>
        <v>2020 год</v>
      </c>
      <c r="AM62" s="40">
        <f>1</f>
        <v>1</v>
      </c>
    </row>
    <row r="63" spans="1:39" ht="31.5" x14ac:dyDescent="0.25">
      <c r="A63" s="587">
        <v>57</v>
      </c>
      <c r="B63" s="621" t="s">
        <v>903</v>
      </c>
      <c r="C63" s="100">
        <v>44175</v>
      </c>
      <c r="D63" s="578" t="s">
        <v>753</v>
      </c>
      <c r="E63" s="54" t="s">
        <v>949</v>
      </c>
      <c r="F63" s="582" t="s">
        <v>2100</v>
      </c>
      <c r="G63" s="54" t="s">
        <v>933</v>
      </c>
      <c r="H63" s="584" t="s">
        <v>2210</v>
      </c>
      <c r="I63" s="98">
        <v>3080917422</v>
      </c>
      <c r="J63" s="264">
        <v>59963.8</v>
      </c>
      <c r="K63" s="264"/>
      <c r="L63" s="264"/>
      <c r="M63" s="264"/>
      <c r="N63" s="264"/>
      <c r="O63" s="100">
        <v>44179</v>
      </c>
      <c r="P63" s="564">
        <v>832</v>
      </c>
      <c r="Q63" s="564">
        <v>928</v>
      </c>
      <c r="R63" s="578">
        <v>9</v>
      </c>
      <c r="S63" s="100">
        <v>44118</v>
      </c>
      <c r="T63" s="112">
        <v>44452</v>
      </c>
      <c r="U63" s="100">
        <v>44543</v>
      </c>
      <c r="V63" s="578"/>
      <c r="W63" s="578"/>
      <c r="X63" s="100">
        <v>44441</v>
      </c>
      <c r="Y63" s="564">
        <v>30809174</v>
      </c>
      <c r="Z63" s="30" t="s">
        <v>2358</v>
      </c>
      <c r="AA63" s="100"/>
      <c r="AB63" s="100"/>
      <c r="AC63" s="100"/>
      <c r="AD63" s="54">
        <v>71</v>
      </c>
      <c r="AE63" s="618"/>
      <c r="AF63" s="618"/>
      <c r="AG63" s="618"/>
      <c r="AH63" s="618"/>
      <c r="AI63" s="587" t="s">
        <v>23</v>
      </c>
      <c r="AJ63" s="578" t="s">
        <v>23</v>
      </c>
      <c r="AK63" s="40" t="str">
        <f t="shared" si="0"/>
        <v>2020 год</v>
      </c>
      <c r="AL63" s="40" t="str">
        <f t="shared" si="1"/>
        <v>2020 год</v>
      </c>
      <c r="AM63" s="40">
        <f>1</f>
        <v>1</v>
      </c>
    </row>
    <row r="64" spans="1:39" ht="31.5" x14ac:dyDescent="0.25">
      <c r="A64" s="587">
        <v>58</v>
      </c>
      <c r="B64" s="621" t="s">
        <v>902</v>
      </c>
      <c r="C64" s="100">
        <v>44060</v>
      </c>
      <c r="D64" s="578" t="s">
        <v>1179</v>
      </c>
      <c r="E64" s="54" t="s">
        <v>718</v>
      </c>
      <c r="F64" s="582" t="s">
        <v>1621</v>
      </c>
      <c r="G64" s="54" t="s">
        <v>936</v>
      </c>
      <c r="H64" s="582" t="s">
        <v>2202</v>
      </c>
      <c r="I64" s="98">
        <v>4767699843</v>
      </c>
      <c r="J64" s="264">
        <v>21896</v>
      </c>
      <c r="K64" s="264"/>
      <c r="L64" s="264"/>
      <c r="M64" s="264"/>
      <c r="N64" s="264"/>
      <c r="O64" s="100">
        <v>44062</v>
      </c>
      <c r="P64" s="564">
        <v>239</v>
      </c>
      <c r="Q64" s="564">
        <v>239</v>
      </c>
      <c r="R64" s="578">
        <v>9</v>
      </c>
      <c r="S64" s="100">
        <v>44001</v>
      </c>
      <c r="T64" s="112">
        <v>44530</v>
      </c>
      <c r="U64" s="578"/>
      <c r="V64" s="578"/>
      <c r="W64" s="578"/>
      <c r="X64" s="100">
        <v>44477</v>
      </c>
      <c r="Y64" s="564">
        <v>93279152</v>
      </c>
      <c r="Z64" s="30" t="s">
        <v>2359</v>
      </c>
      <c r="AA64" s="100"/>
      <c r="AB64" s="100"/>
      <c r="AC64" s="100"/>
      <c r="AD64" s="54">
        <v>81</v>
      </c>
      <c r="AE64" s="618"/>
      <c r="AF64" s="618"/>
      <c r="AG64" s="618"/>
      <c r="AH64" s="618"/>
      <c r="AI64" s="587" t="s">
        <v>1179</v>
      </c>
      <c r="AJ64" s="578" t="s">
        <v>1179</v>
      </c>
      <c r="AK64" s="40" t="str">
        <f t="shared" si="0"/>
        <v>2020 год</v>
      </c>
      <c r="AL64" s="40" t="str">
        <f t="shared" si="1"/>
        <v>2020 год</v>
      </c>
      <c r="AM64" s="40">
        <f>1</f>
        <v>1</v>
      </c>
    </row>
    <row r="65" spans="1:39" x14ac:dyDescent="0.25">
      <c r="A65" s="587">
        <v>59</v>
      </c>
      <c r="B65" s="621" t="s">
        <v>901</v>
      </c>
      <c r="C65" s="100">
        <v>43860</v>
      </c>
      <c r="D65" s="578" t="s">
        <v>1179</v>
      </c>
      <c r="E65" s="54" t="s">
        <v>718</v>
      </c>
      <c r="F65" s="582" t="s">
        <v>1621</v>
      </c>
      <c r="G65" s="578" t="s">
        <v>719</v>
      </c>
      <c r="H65" s="584" t="s">
        <v>2211</v>
      </c>
      <c r="I65" s="98">
        <v>9154023704</v>
      </c>
      <c r="J65" s="240">
        <v>35661.699999999997</v>
      </c>
      <c r="K65" s="240"/>
      <c r="L65" s="240"/>
      <c r="M65" s="240"/>
      <c r="N65" s="240"/>
      <c r="O65" s="100">
        <v>43866</v>
      </c>
      <c r="P65" s="564">
        <v>357</v>
      </c>
      <c r="Q65" s="564">
        <v>358</v>
      </c>
      <c r="R65" s="578">
        <v>16</v>
      </c>
      <c r="S65" s="100">
        <v>43843</v>
      </c>
      <c r="T65" s="112">
        <v>44477</v>
      </c>
      <c r="U65" s="100">
        <v>44569</v>
      </c>
      <c r="V65" s="578"/>
      <c r="W65" s="578"/>
      <c r="X65" s="100">
        <v>44553</v>
      </c>
      <c r="Y65" s="564">
        <v>180082849</v>
      </c>
      <c r="Z65" s="24" t="s">
        <v>1053</v>
      </c>
      <c r="AA65" s="578"/>
      <c r="AB65" s="578"/>
      <c r="AC65" s="578"/>
      <c r="AD65" s="54">
        <v>91</v>
      </c>
      <c r="AE65" s="618"/>
      <c r="AF65" s="618"/>
      <c r="AG65" s="618"/>
      <c r="AH65" s="618"/>
      <c r="AI65" s="587" t="s">
        <v>1179</v>
      </c>
      <c r="AJ65" s="578" t="s">
        <v>1179</v>
      </c>
      <c r="AK65" s="40" t="str">
        <f t="shared" si="0"/>
        <v>2020 год</v>
      </c>
      <c r="AL65" s="40" t="str">
        <f t="shared" si="1"/>
        <v>2020 год</v>
      </c>
      <c r="AM65" s="40">
        <f>1</f>
        <v>1</v>
      </c>
    </row>
    <row r="66" spans="1:39" x14ac:dyDescent="0.25">
      <c r="A66" s="587" t="s">
        <v>28</v>
      </c>
      <c r="B66" s="621" t="s">
        <v>1474</v>
      </c>
      <c r="C66" s="100">
        <v>44334</v>
      </c>
      <c r="D66" s="578" t="s">
        <v>1179</v>
      </c>
      <c r="E66" s="54" t="s">
        <v>718</v>
      </c>
      <c r="F66" s="582" t="s">
        <v>1621</v>
      </c>
      <c r="G66" s="578" t="s">
        <v>719</v>
      </c>
      <c r="H66" s="584" t="s">
        <v>2211</v>
      </c>
      <c r="I66" s="98">
        <v>505795088</v>
      </c>
      <c r="J66" s="264">
        <v>0</v>
      </c>
      <c r="K66" s="264"/>
      <c r="L66" s="264"/>
      <c r="M66" s="264"/>
      <c r="N66" s="264"/>
      <c r="O66" s="100">
        <v>44344</v>
      </c>
      <c r="P66" s="578">
        <v>0</v>
      </c>
      <c r="Q66" s="564">
        <v>0</v>
      </c>
      <c r="R66" s="578">
        <v>0</v>
      </c>
      <c r="S66" s="100">
        <v>44172</v>
      </c>
      <c r="T66" s="112">
        <v>44553</v>
      </c>
      <c r="U66" s="578"/>
      <c r="V66" s="578"/>
      <c r="W66" s="578"/>
      <c r="X66" s="100">
        <v>44553</v>
      </c>
      <c r="Y66" s="564">
        <v>5057951</v>
      </c>
      <c r="Z66" s="30"/>
      <c r="AA66" s="112"/>
      <c r="AB66" s="112" t="s">
        <v>658</v>
      </c>
      <c r="AC66" s="112"/>
      <c r="AD66" s="54">
        <v>91</v>
      </c>
      <c r="AE66" s="618"/>
      <c r="AF66" s="618"/>
      <c r="AG66" s="618"/>
      <c r="AH66" s="618"/>
      <c r="AI66" s="587"/>
      <c r="AJ66" s="578" t="s">
        <v>1179</v>
      </c>
      <c r="AK66" s="40"/>
      <c r="AL66" s="40" t="str">
        <f t="shared" si="1"/>
        <v>2021 год</v>
      </c>
      <c r="AM66" s="40"/>
    </row>
    <row r="67" spans="1:39" x14ac:dyDescent="0.25">
      <c r="A67" s="587">
        <v>60</v>
      </c>
      <c r="B67" s="621" t="s">
        <v>900</v>
      </c>
      <c r="C67" s="100">
        <v>43875</v>
      </c>
      <c r="D67" s="578" t="s">
        <v>1179</v>
      </c>
      <c r="E67" s="578" t="s">
        <v>954</v>
      </c>
      <c r="F67" s="584" t="s">
        <v>1956</v>
      </c>
      <c r="G67" s="578" t="s">
        <v>1431</v>
      </c>
      <c r="H67" s="584" t="s">
        <v>2161</v>
      </c>
      <c r="I67" s="98">
        <v>5767382086</v>
      </c>
      <c r="J67" s="264">
        <v>27950.19</v>
      </c>
      <c r="K67" s="264"/>
      <c r="L67" s="264"/>
      <c r="M67" s="264"/>
      <c r="N67" s="264"/>
      <c r="O67" s="100">
        <v>43903</v>
      </c>
      <c r="P67" s="564">
        <v>173</v>
      </c>
      <c r="Q67" s="564">
        <v>172</v>
      </c>
      <c r="R67" s="578">
        <v>10.18</v>
      </c>
      <c r="S67" s="100">
        <v>43817</v>
      </c>
      <c r="T67" s="112">
        <v>44487</v>
      </c>
      <c r="U67" s="100">
        <v>44579</v>
      </c>
      <c r="V67" s="578"/>
      <c r="W67" s="578"/>
      <c r="X67" s="100">
        <v>44559</v>
      </c>
      <c r="Y67" s="564">
        <v>105944617</v>
      </c>
      <c r="Z67" s="24" t="s">
        <v>1052</v>
      </c>
      <c r="AA67" s="578"/>
      <c r="AB67" s="578"/>
      <c r="AC67" s="578"/>
      <c r="AD67" s="54">
        <v>70</v>
      </c>
      <c r="AE67" s="618"/>
      <c r="AF67" s="618"/>
      <c r="AG67" s="618"/>
      <c r="AH67" s="618"/>
      <c r="AI67" s="587" t="s">
        <v>1179</v>
      </c>
      <c r="AJ67" s="578" t="s">
        <v>1179</v>
      </c>
      <c r="AK67" s="40" t="str">
        <f t="shared" si="0"/>
        <v>2020 год</v>
      </c>
      <c r="AL67" s="40" t="str">
        <f t="shared" si="1"/>
        <v>2020 год</v>
      </c>
      <c r="AM67" s="40">
        <f>1</f>
        <v>1</v>
      </c>
    </row>
    <row r="68" spans="1:39" x14ac:dyDescent="0.25">
      <c r="A68" s="587">
        <v>61</v>
      </c>
      <c r="B68" s="621" t="s">
        <v>899</v>
      </c>
      <c r="C68" s="100">
        <v>44015</v>
      </c>
      <c r="D68" s="578" t="s">
        <v>753</v>
      </c>
      <c r="E68" s="578" t="s">
        <v>685</v>
      </c>
      <c r="F68" s="584" t="s">
        <v>1955</v>
      </c>
      <c r="G68" s="578" t="s">
        <v>877</v>
      </c>
      <c r="H68" s="584" t="s">
        <v>2173</v>
      </c>
      <c r="I68" s="98">
        <v>6057003488</v>
      </c>
      <c r="J68" s="264">
        <v>39655.800000000003</v>
      </c>
      <c r="K68" s="264"/>
      <c r="L68" s="264"/>
      <c r="M68" s="264"/>
      <c r="N68" s="264"/>
      <c r="O68" s="100">
        <v>44016</v>
      </c>
      <c r="P68" s="564">
        <v>484</v>
      </c>
      <c r="Q68" s="564">
        <v>506</v>
      </c>
      <c r="R68" s="578" t="s">
        <v>72</v>
      </c>
      <c r="S68" s="100">
        <v>43998</v>
      </c>
      <c r="T68" s="112">
        <v>44500</v>
      </c>
      <c r="U68" s="100">
        <v>44592</v>
      </c>
      <c r="V68" s="578"/>
      <c r="W68" s="578"/>
      <c r="X68" s="100">
        <v>44558</v>
      </c>
      <c r="Y68" s="564">
        <v>121140070</v>
      </c>
      <c r="Z68" s="30" t="s">
        <v>1051</v>
      </c>
      <c r="AA68" s="578"/>
      <c r="AB68" s="578"/>
      <c r="AC68" s="578"/>
      <c r="AD68" s="54">
        <v>95</v>
      </c>
      <c r="AE68" s="618"/>
      <c r="AF68" s="618"/>
      <c r="AG68" s="618"/>
      <c r="AH68" s="618"/>
      <c r="AI68" s="587" t="s">
        <v>23</v>
      </c>
      <c r="AJ68" s="578" t="s">
        <v>23</v>
      </c>
      <c r="AK68" s="40" t="str">
        <f t="shared" ref="AK68:AK131" si="2">CONCATENATE(YEAR(O68)," год")</f>
        <v>2020 год</v>
      </c>
      <c r="AL68" s="40" t="str">
        <f t="shared" ref="AL68:AL131" si="3">CONCATENATE(YEAR(O68)," год")</f>
        <v>2020 год</v>
      </c>
      <c r="AM68" s="40">
        <f>1</f>
        <v>1</v>
      </c>
    </row>
    <row r="69" spans="1:39" ht="31.5" x14ac:dyDescent="0.25">
      <c r="A69" s="587">
        <v>62</v>
      </c>
      <c r="B69" s="621" t="s">
        <v>898</v>
      </c>
      <c r="C69" s="100">
        <v>44060</v>
      </c>
      <c r="D69" s="578" t="s">
        <v>753</v>
      </c>
      <c r="E69" s="578" t="s">
        <v>685</v>
      </c>
      <c r="F69" s="584" t="s">
        <v>1955</v>
      </c>
      <c r="G69" s="578" t="s">
        <v>877</v>
      </c>
      <c r="H69" s="584" t="s">
        <v>2173</v>
      </c>
      <c r="I69" s="98">
        <v>2350110287</v>
      </c>
      <c r="J69" s="264">
        <v>16432.3</v>
      </c>
      <c r="K69" s="264"/>
      <c r="L69" s="264"/>
      <c r="M69" s="264"/>
      <c r="N69" s="264"/>
      <c r="O69" s="100">
        <v>44060</v>
      </c>
      <c r="P69" s="564">
        <v>208</v>
      </c>
      <c r="Q69" s="564">
        <v>216</v>
      </c>
      <c r="R69" s="578" t="s">
        <v>125</v>
      </c>
      <c r="S69" s="100">
        <v>43998</v>
      </c>
      <c r="T69" s="112">
        <v>44592</v>
      </c>
      <c r="U69" s="578"/>
      <c r="V69" s="578"/>
      <c r="W69" s="578"/>
      <c r="X69" s="100">
        <v>44558</v>
      </c>
      <c r="Y69" s="564">
        <v>47002206</v>
      </c>
      <c r="Z69" s="30" t="s">
        <v>2360</v>
      </c>
      <c r="AA69" s="578"/>
      <c r="AB69" s="578"/>
      <c r="AC69" s="578"/>
      <c r="AD69" s="54">
        <v>95</v>
      </c>
      <c r="AE69" s="618"/>
      <c r="AF69" s="618"/>
      <c r="AG69" s="618"/>
      <c r="AH69" s="618"/>
      <c r="AI69" s="587" t="s">
        <v>23</v>
      </c>
      <c r="AJ69" s="578" t="s">
        <v>23</v>
      </c>
      <c r="AK69" s="40" t="str">
        <f t="shared" si="2"/>
        <v>2020 год</v>
      </c>
      <c r="AL69" s="40" t="str">
        <f t="shared" si="3"/>
        <v>2020 год</v>
      </c>
      <c r="AM69" s="40">
        <f>1</f>
        <v>1</v>
      </c>
    </row>
    <row r="70" spans="1:39" ht="31.5" x14ac:dyDescent="0.25">
      <c r="A70" s="587">
        <v>63</v>
      </c>
      <c r="B70" s="621" t="s">
        <v>897</v>
      </c>
      <c r="C70" s="100">
        <v>43875</v>
      </c>
      <c r="D70" s="578" t="s">
        <v>1179</v>
      </c>
      <c r="E70" s="54" t="s">
        <v>718</v>
      </c>
      <c r="F70" s="582" t="s">
        <v>1621</v>
      </c>
      <c r="G70" s="578" t="s">
        <v>939</v>
      </c>
      <c r="H70" s="584" t="s">
        <v>2205</v>
      </c>
      <c r="I70" s="98">
        <v>4490419686</v>
      </c>
      <c r="J70" s="264">
        <v>19814.66</v>
      </c>
      <c r="K70" s="264"/>
      <c r="L70" s="264"/>
      <c r="M70" s="264"/>
      <c r="N70" s="264"/>
      <c r="O70" s="100">
        <v>43878</v>
      </c>
      <c r="P70" s="564">
        <v>278</v>
      </c>
      <c r="Q70" s="564">
        <v>278</v>
      </c>
      <c r="R70" s="578" t="s">
        <v>110</v>
      </c>
      <c r="S70" s="100">
        <v>43784</v>
      </c>
      <c r="T70" s="112">
        <v>44302</v>
      </c>
      <c r="U70" s="100">
        <v>44393</v>
      </c>
      <c r="V70" s="100">
        <v>44510</v>
      </c>
      <c r="W70" s="100">
        <v>44602</v>
      </c>
      <c r="X70" s="100">
        <v>44557</v>
      </c>
      <c r="Y70" s="564">
        <v>89098085</v>
      </c>
      <c r="Z70" s="30" t="s">
        <v>2361</v>
      </c>
      <c r="AA70" s="578"/>
      <c r="AB70" s="578"/>
      <c r="AC70" s="578"/>
      <c r="AD70" s="54">
        <v>91</v>
      </c>
      <c r="AE70" s="618"/>
      <c r="AF70" s="618"/>
      <c r="AG70" s="618"/>
      <c r="AH70" s="618"/>
      <c r="AI70" s="587" t="s">
        <v>1179</v>
      </c>
      <c r="AJ70" s="578" t="s">
        <v>1179</v>
      </c>
      <c r="AK70" s="40" t="str">
        <f t="shared" si="2"/>
        <v>2020 год</v>
      </c>
      <c r="AL70" s="40" t="str">
        <f t="shared" si="3"/>
        <v>2020 год</v>
      </c>
      <c r="AM70" s="40">
        <f>1</f>
        <v>1</v>
      </c>
    </row>
    <row r="71" spans="1:39" x14ac:dyDescent="0.25">
      <c r="A71" s="587">
        <v>64</v>
      </c>
      <c r="B71" s="621" t="s">
        <v>1056</v>
      </c>
      <c r="C71" s="100">
        <v>43927</v>
      </c>
      <c r="D71" s="578" t="s">
        <v>1179</v>
      </c>
      <c r="E71" s="54" t="s">
        <v>718</v>
      </c>
      <c r="F71" s="582" t="s">
        <v>1621</v>
      </c>
      <c r="G71" s="578" t="s">
        <v>939</v>
      </c>
      <c r="H71" s="584" t="s">
        <v>2205</v>
      </c>
      <c r="I71" s="98">
        <v>5708411131</v>
      </c>
      <c r="J71" s="264">
        <v>31505.3</v>
      </c>
      <c r="K71" s="264"/>
      <c r="L71" s="264"/>
      <c r="M71" s="264"/>
      <c r="N71" s="264"/>
      <c r="O71" s="100">
        <v>44154</v>
      </c>
      <c r="P71" s="564">
        <v>416</v>
      </c>
      <c r="Q71" s="564">
        <v>416</v>
      </c>
      <c r="R71" s="578" t="s">
        <v>116</v>
      </c>
      <c r="S71" s="100">
        <v>43892</v>
      </c>
      <c r="T71" s="112">
        <v>44622</v>
      </c>
      <c r="U71" s="578"/>
      <c r="V71" s="578"/>
      <c r="W71" s="578"/>
      <c r="X71" s="100">
        <v>44559</v>
      </c>
      <c r="Y71" s="564">
        <v>112958261</v>
      </c>
      <c r="Z71" s="24"/>
      <c r="AA71" s="578"/>
      <c r="AB71" s="578"/>
      <c r="AC71" s="578"/>
      <c r="AD71" s="54">
        <v>91</v>
      </c>
      <c r="AE71" s="618"/>
      <c r="AF71" s="618"/>
      <c r="AG71" s="618"/>
      <c r="AH71" s="618"/>
      <c r="AI71" s="587" t="s">
        <v>1179</v>
      </c>
      <c r="AJ71" s="578" t="s">
        <v>1179</v>
      </c>
      <c r="AK71" s="40" t="str">
        <f t="shared" si="2"/>
        <v>2020 год</v>
      </c>
      <c r="AL71" s="40" t="str">
        <f t="shared" si="3"/>
        <v>2020 год</v>
      </c>
      <c r="AM71" s="40">
        <f>1</f>
        <v>1</v>
      </c>
    </row>
    <row r="72" spans="1:39" ht="31.5" x14ac:dyDescent="0.25">
      <c r="A72" s="587">
        <v>65</v>
      </c>
      <c r="B72" s="621" t="s">
        <v>896</v>
      </c>
      <c r="C72" s="100">
        <v>44187</v>
      </c>
      <c r="D72" s="578" t="s">
        <v>1179</v>
      </c>
      <c r="E72" s="54" t="s">
        <v>716</v>
      </c>
      <c r="F72" s="580">
        <v>960340000376</v>
      </c>
      <c r="G72" s="54" t="s">
        <v>940</v>
      </c>
      <c r="H72" s="584" t="s">
        <v>2120</v>
      </c>
      <c r="I72" s="98">
        <v>2608583568</v>
      </c>
      <c r="J72" s="264">
        <v>16101.6</v>
      </c>
      <c r="K72" s="264"/>
      <c r="L72" s="264"/>
      <c r="M72" s="264"/>
      <c r="N72" s="264"/>
      <c r="O72" s="100">
        <v>44193</v>
      </c>
      <c r="P72" s="564">
        <v>116</v>
      </c>
      <c r="Q72" s="564">
        <v>116</v>
      </c>
      <c r="R72" s="578">
        <v>10</v>
      </c>
      <c r="S72" s="100">
        <v>43986</v>
      </c>
      <c r="T72" s="112">
        <v>44712</v>
      </c>
      <c r="U72" s="578"/>
      <c r="V72" s="578"/>
      <c r="W72" s="578"/>
      <c r="X72" s="100">
        <v>44482</v>
      </c>
      <c r="Y72" s="564">
        <v>24583147</v>
      </c>
      <c r="Z72" s="30" t="s">
        <v>2362</v>
      </c>
      <c r="AA72" s="564">
        <v>311733873</v>
      </c>
      <c r="AB72" s="112"/>
      <c r="AC72" s="112"/>
      <c r="AD72" s="54">
        <v>84</v>
      </c>
      <c r="AE72" s="618"/>
      <c r="AF72" s="618"/>
      <c r="AG72" s="618"/>
      <c r="AH72" s="618"/>
      <c r="AI72" s="587" t="s">
        <v>1179</v>
      </c>
      <c r="AJ72" s="578" t="s">
        <v>1179</v>
      </c>
      <c r="AK72" s="40" t="str">
        <f t="shared" si="2"/>
        <v>2020 год</v>
      </c>
      <c r="AL72" s="40" t="str">
        <f t="shared" si="3"/>
        <v>2020 год</v>
      </c>
      <c r="AM72" s="40">
        <f>1</f>
        <v>1</v>
      </c>
    </row>
    <row r="73" spans="1:39" ht="31.5" x14ac:dyDescent="0.25">
      <c r="A73" s="587">
        <v>66</v>
      </c>
      <c r="B73" s="621" t="s">
        <v>895</v>
      </c>
      <c r="C73" s="100">
        <v>44187</v>
      </c>
      <c r="D73" s="578" t="s">
        <v>1179</v>
      </c>
      <c r="E73" s="54" t="s">
        <v>716</v>
      </c>
      <c r="F73" s="580">
        <v>960340000376</v>
      </c>
      <c r="G73" s="578" t="s">
        <v>935</v>
      </c>
      <c r="H73" s="584" t="s">
        <v>2179</v>
      </c>
      <c r="I73" s="98">
        <v>1657025210</v>
      </c>
      <c r="J73" s="264">
        <v>12551.1</v>
      </c>
      <c r="K73" s="264"/>
      <c r="L73" s="264"/>
      <c r="M73" s="264"/>
      <c r="N73" s="264"/>
      <c r="O73" s="100">
        <v>44195</v>
      </c>
      <c r="P73" s="564">
        <v>171</v>
      </c>
      <c r="Q73" s="564">
        <v>171</v>
      </c>
      <c r="R73" s="578">
        <v>9.1199999999999992</v>
      </c>
      <c r="S73" s="100">
        <v>44090</v>
      </c>
      <c r="T73" s="112">
        <v>44865</v>
      </c>
      <c r="U73" s="578"/>
      <c r="V73" s="578"/>
      <c r="W73" s="578"/>
      <c r="X73" s="100">
        <v>44501</v>
      </c>
      <c r="Y73" s="564">
        <v>15578040</v>
      </c>
      <c r="Z73" s="30" t="s">
        <v>1047</v>
      </c>
      <c r="AA73" s="564">
        <v>211128707</v>
      </c>
      <c r="AB73" s="112"/>
      <c r="AC73" s="112"/>
      <c r="AD73" s="54">
        <v>84</v>
      </c>
      <c r="AE73" s="618"/>
      <c r="AF73" s="618"/>
      <c r="AG73" s="618"/>
      <c r="AH73" s="618"/>
      <c r="AI73" s="587" t="s">
        <v>1179</v>
      </c>
      <c r="AJ73" s="578" t="s">
        <v>1179</v>
      </c>
      <c r="AK73" s="40" t="str">
        <f t="shared" si="2"/>
        <v>2020 год</v>
      </c>
      <c r="AL73" s="40" t="str">
        <f t="shared" si="3"/>
        <v>2020 год</v>
      </c>
      <c r="AM73" s="40">
        <f>1</f>
        <v>1</v>
      </c>
    </row>
    <row r="74" spans="1:39" x14ac:dyDescent="0.25">
      <c r="A74" s="587">
        <v>67</v>
      </c>
      <c r="B74" s="621" t="s">
        <v>894</v>
      </c>
      <c r="C74" s="100">
        <v>44109</v>
      </c>
      <c r="D74" s="578" t="s">
        <v>753</v>
      </c>
      <c r="E74" s="54" t="s">
        <v>953</v>
      </c>
      <c r="F74" s="582" t="s">
        <v>2106</v>
      </c>
      <c r="G74" s="54" t="s">
        <v>874</v>
      </c>
      <c r="H74" s="582" t="s">
        <v>2201</v>
      </c>
      <c r="I74" s="98">
        <v>4323925897</v>
      </c>
      <c r="J74" s="264">
        <v>17609.2</v>
      </c>
      <c r="K74" s="264"/>
      <c r="L74" s="264"/>
      <c r="M74" s="264"/>
      <c r="N74" s="264"/>
      <c r="O74" s="100">
        <v>44165</v>
      </c>
      <c r="P74" s="564">
        <v>237</v>
      </c>
      <c r="Q74" s="564">
        <v>237</v>
      </c>
      <c r="R74" s="578">
        <v>16</v>
      </c>
      <c r="S74" s="100">
        <v>44090</v>
      </c>
      <c r="T74" s="112">
        <v>44729</v>
      </c>
      <c r="U74" s="578"/>
      <c r="V74" s="578"/>
      <c r="W74" s="578"/>
      <c r="X74" s="100">
        <v>44722</v>
      </c>
      <c r="Y74" s="564">
        <v>85270009</v>
      </c>
      <c r="Z74" s="30" t="s">
        <v>1046</v>
      </c>
      <c r="AA74" s="112"/>
      <c r="AB74" s="112"/>
      <c r="AC74" s="112"/>
      <c r="AD74" s="54">
        <v>98</v>
      </c>
      <c r="AE74" s="618"/>
      <c r="AF74" s="618"/>
      <c r="AG74" s="618"/>
      <c r="AH74" s="618"/>
      <c r="AI74" s="587" t="s">
        <v>23</v>
      </c>
      <c r="AJ74" s="578" t="s">
        <v>23</v>
      </c>
      <c r="AK74" s="40" t="str">
        <f t="shared" si="2"/>
        <v>2020 год</v>
      </c>
      <c r="AL74" s="40" t="str">
        <f t="shared" si="3"/>
        <v>2020 год</v>
      </c>
      <c r="AM74" s="40">
        <f>1</f>
        <v>1</v>
      </c>
    </row>
    <row r="75" spans="1:39" x14ac:dyDescent="0.25">
      <c r="A75" s="587">
        <v>68</v>
      </c>
      <c r="B75" s="621" t="s">
        <v>847</v>
      </c>
      <c r="C75" s="100">
        <v>44175</v>
      </c>
      <c r="D75" s="578" t="s">
        <v>1179</v>
      </c>
      <c r="E75" s="54" t="s">
        <v>2092</v>
      </c>
      <c r="F75" s="582" t="s">
        <v>2093</v>
      </c>
      <c r="G75" s="54" t="s">
        <v>860</v>
      </c>
      <c r="H75" s="582" t="s">
        <v>2135</v>
      </c>
      <c r="I75" s="98">
        <v>2855648417</v>
      </c>
      <c r="J75" s="264">
        <v>13898.8</v>
      </c>
      <c r="K75" s="264"/>
      <c r="L75" s="264"/>
      <c r="M75" s="264"/>
      <c r="N75" s="264"/>
      <c r="O75" s="100">
        <v>44209</v>
      </c>
      <c r="P75" s="564">
        <v>126</v>
      </c>
      <c r="Q75" s="564">
        <v>126</v>
      </c>
      <c r="R75" s="578">
        <v>12</v>
      </c>
      <c r="S75" s="100">
        <v>44096</v>
      </c>
      <c r="T75" s="112">
        <v>44642</v>
      </c>
      <c r="U75" s="578"/>
      <c r="V75" s="578"/>
      <c r="W75" s="578"/>
      <c r="X75" s="100">
        <v>44376</v>
      </c>
      <c r="Y75" s="564" t="s">
        <v>656</v>
      </c>
      <c r="Z75" s="58" t="s">
        <v>657</v>
      </c>
      <c r="AA75" s="564"/>
      <c r="AB75" s="564" t="s">
        <v>636</v>
      </c>
      <c r="AC75" s="564"/>
      <c r="AD75" s="54">
        <v>77</v>
      </c>
      <c r="AE75" s="618"/>
      <c r="AF75" s="618"/>
      <c r="AG75" s="618"/>
      <c r="AH75" s="618"/>
      <c r="AI75" s="587" t="s">
        <v>1179</v>
      </c>
      <c r="AJ75" s="578" t="s">
        <v>1179</v>
      </c>
      <c r="AK75" s="40" t="str">
        <f t="shared" si="2"/>
        <v>2021 год</v>
      </c>
      <c r="AL75" s="40" t="str">
        <f t="shared" si="3"/>
        <v>2021 год</v>
      </c>
      <c r="AM75" s="40">
        <f>1</f>
        <v>1</v>
      </c>
    </row>
    <row r="76" spans="1:39" x14ac:dyDescent="0.25">
      <c r="A76" s="587">
        <v>69</v>
      </c>
      <c r="B76" s="621" t="s">
        <v>829</v>
      </c>
      <c r="C76" s="100">
        <v>44232</v>
      </c>
      <c r="D76" s="578" t="s">
        <v>1179</v>
      </c>
      <c r="E76" s="578" t="s">
        <v>716</v>
      </c>
      <c r="F76" s="580">
        <v>960340000376</v>
      </c>
      <c r="G76" s="578" t="s">
        <v>861</v>
      </c>
      <c r="H76" s="584" t="s">
        <v>2182</v>
      </c>
      <c r="I76" s="98">
        <v>2435069335</v>
      </c>
      <c r="J76" s="264">
        <v>16551</v>
      </c>
      <c r="K76" s="264"/>
      <c r="L76" s="264"/>
      <c r="M76" s="264"/>
      <c r="N76" s="264"/>
      <c r="O76" s="100">
        <v>44256</v>
      </c>
      <c r="P76" s="564">
        <v>144</v>
      </c>
      <c r="Q76" s="564">
        <v>144</v>
      </c>
      <c r="R76" s="578">
        <v>7</v>
      </c>
      <c r="S76" s="100">
        <v>43964</v>
      </c>
      <c r="T76" s="112">
        <v>44574</v>
      </c>
      <c r="U76" s="578"/>
      <c r="V76" s="578"/>
      <c r="W76" s="578"/>
      <c r="X76" s="100">
        <v>44491</v>
      </c>
      <c r="Y76" s="564">
        <v>21061933</v>
      </c>
      <c r="Z76" s="30" t="s">
        <v>1078</v>
      </c>
      <c r="AA76" s="112"/>
      <c r="AB76" s="112"/>
      <c r="AC76" s="112"/>
      <c r="AD76" s="54">
        <v>84</v>
      </c>
      <c r="AE76" s="618"/>
      <c r="AF76" s="618"/>
      <c r="AG76" s="618"/>
      <c r="AH76" s="618"/>
      <c r="AI76" s="587" t="s">
        <v>1179</v>
      </c>
      <c r="AJ76" s="578" t="s">
        <v>1179</v>
      </c>
      <c r="AK76" s="40" t="str">
        <f t="shared" si="2"/>
        <v>2021 год</v>
      </c>
      <c r="AL76" s="40" t="str">
        <f t="shared" si="3"/>
        <v>2021 год</v>
      </c>
      <c r="AM76" s="40">
        <f>1</f>
        <v>1</v>
      </c>
    </row>
    <row r="77" spans="1:39" x14ac:dyDescent="0.25">
      <c r="A77" s="587">
        <v>70</v>
      </c>
      <c r="B77" s="621" t="s">
        <v>830</v>
      </c>
      <c r="C77" s="100">
        <v>44391</v>
      </c>
      <c r="D77" s="578" t="s">
        <v>753</v>
      </c>
      <c r="E77" s="578" t="s">
        <v>685</v>
      </c>
      <c r="F77" s="584" t="s">
        <v>1955</v>
      </c>
      <c r="G77" s="578" t="s">
        <v>862</v>
      </c>
      <c r="H77" s="584" t="s">
        <v>2136</v>
      </c>
      <c r="I77" s="98">
        <v>4706806971</v>
      </c>
      <c r="J77" s="264">
        <v>55984.28</v>
      </c>
      <c r="K77" s="264"/>
      <c r="L77" s="264"/>
      <c r="M77" s="264"/>
      <c r="N77" s="264"/>
      <c r="O77" s="100">
        <v>44403</v>
      </c>
      <c r="P77" s="564">
        <v>756</v>
      </c>
      <c r="Q77" s="564">
        <v>844</v>
      </c>
      <c r="R77" s="578">
        <v>9</v>
      </c>
      <c r="S77" s="100">
        <v>44355</v>
      </c>
      <c r="T77" s="112">
        <v>44561</v>
      </c>
      <c r="U77" s="578"/>
      <c r="V77" s="578"/>
      <c r="W77" s="578"/>
      <c r="X77" s="100">
        <v>44558</v>
      </c>
      <c r="Y77" s="564">
        <v>47068070</v>
      </c>
      <c r="Z77" s="30" t="s">
        <v>659</v>
      </c>
      <c r="AA77" s="112"/>
      <c r="AB77" s="112" t="s">
        <v>595</v>
      </c>
      <c r="AC77" s="112"/>
      <c r="AD77" s="54">
        <v>68</v>
      </c>
      <c r="AE77" s="618"/>
      <c r="AF77" s="618"/>
      <c r="AG77" s="618"/>
      <c r="AH77" s="618"/>
      <c r="AI77" s="587" t="s">
        <v>23</v>
      </c>
      <c r="AJ77" s="578" t="s">
        <v>23</v>
      </c>
      <c r="AK77" s="40" t="str">
        <f t="shared" si="2"/>
        <v>2021 год</v>
      </c>
      <c r="AL77" s="40" t="str">
        <f t="shared" si="3"/>
        <v>2021 год</v>
      </c>
      <c r="AM77" s="40">
        <f>1</f>
        <v>1</v>
      </c>
    </row>
    <row r="78" spans="1:39" x14ac:dyDescent="0.25">
      <c r="A78" s="587">
        <v>71</v>
      </c>
      <c r="B78" s="621" t="s">
        <v>831</v>
      </c>
      <c r="C78" s="100">
        <v>44336</v>
      </c>
      <c r="D78" s="578" t="s">
        <v>1179</v>
      </c>
      <c r="E78" s="54" t="s">
        <v>718</v>
      </c>
      <c r="F78" s="582" t="s">
        <v>1621</v>
      </c>
      <c r="G78" s="578" t="s">
        <v>863</v>
      </c>
      <c r="H78" s="582" t="s">
        <v>2164</v>
      </c>
      <c r="I78" s="98">
        <v>3935294461</v>
      </c>
      <c r="J78" s="264">
        <v>19799.46</v>
      </c>
      <c r="K78" s="264"/>
      <c r="L78" s="264"/>
      <c r="M78" s="264"/>
      <c r="N78" s="264"/>
      <c r="O78" s="100">
        <v>44344</v>
      </c>
      <c r="P78" s="564">
        <v>207</v>
      </c>
      <c r="Q78" s="564">
        <v>207</v>
      </c>
      <c r="R78" s="578" t="s">
        <v>193</v>
      </c>
      <c r="S78" s="100">
        <v>44242</v>
      </c>
      <c r="T78" s="112">
        <v>44734</v>
      </c>
      <c r="U78" s="578"/>
      <c r="V78" s="578"/>
      <c r="W78" s="578"/>
      <c r="X78" s="100">
        <v>44522</v>
      </c>
      <c r="Y78" s="564">
        <v>38776285</v>
      </c>
      <c r="Z78" s="30"/>
      <c r="AA78" s="112"/>
      <c r="AB78" s="112"/>
      <c r="AC78" s="112"/>
      <c r="AD78" s="54">
        <v>81</v>
      </c>
      <c r="AE78" s="618"/>
      <c r="AF78" s="618"/>
      <c r="AG78" s="618"/>
      <c r="AH78" s="618"/>
      <c r="AI78" s="587" t="s">
        <v>1179</v>
      </c>
      <c r="AJ78" s="578" t="s">
        <v>1179</v>
      </c>
      <c r="AK78" s="40" t="str">
        <f t="shared" si="2"/>
        <v>2021 год</v>
      </c>
      <c r="AL78" s="40" t="str">
        <f t="shared" si="3"/>
        <v>2021 год</v>
      </c>
      <c r="AM78" s="40">
        <f>1</f>
        <v>1</v>
      </c>
    </row>
    <row r="79" spans="1:39" x14ac:dyDescent="0.25">
      <c r="A79" s="587">
        <v>72</v>
      </c>
      <c r="B79" s="621" t="s">
        <v>832</v>
      </c>
      <c r="C79" s="100">
        <v>44287</v>
      </c>
      <c r="D79" s="578" t="s">
        <v>1179</v>
      </c>
      <c r="E79" s="54" t="s">
        <v>718</v>
      </c>
      <c r="F79" s="582" t="s">
        <v>1621</v>
      </c>
      <c r="G79" s="578" t="s">
        <v>864</v>
      </c>
      <c r="H79" s="584" t="s">
        <v>2172</v>
      </c>
      <c r="I79" s="98">
        <v>6857592308</v>
      </c>
      <c r="J79" s="264">
        <v>35711.699999999997</v>
      </c>
      <c r="K79" s="264"/>
      <c r="L79" s="264"/>
      <c r="M79" s="264"/>
      <c r="N79" s="264"/>
      <c r="O79" s="100">
        <v>44309</v>
      </c>
      <c r="P79" s="564">
        <v>291</v>
      </c>
      <c r="Q79" s="564">
        <v>291</v>
      </c>
      <c r="R79" s="578" t="s">
        <v>38</v>
      </c>
      <c r="S79" s="100">
        <v>44293</v>
      </c>
      <c r="T79" s="112">
        <v>44658</v>
      </c>
      <c r="U79" s="578"/>
      <c r="V79" s="578"/>
      <c r="W79" s="578"/>
      <c r="X79" s="100">
        <v>44553</v>
      </c>
      <c r="Y79" s="564">
        <v>67971878</v>
      </c>
      <c r="Z79" s="30"/>
      <c r="AA79" s="112"/>
      <c r="AB79" s="112"/>
      <c r="AC79" s="112"/>
      <c r="AD79" s="54">
        <v>81</v>
      </c>
      <c r="AE79" s="618"/>
      <c r="AF79" s="618"/>
      <c r="AG79" s="618"/>
      <c r="AH79" s="618"/>
      <c r="AI79" s="587" t="s">
        <v>1179</v>
      </c>
      <c r="AJ79" s="578" t="s">
        <v>1179</v>
      </c>
      <c r="AK79" s="40" t="str">
        <f t="shared" si="2"/>
        <v>2021 год</v>
      </c>
      <c r="AL79" s="40" t="str">
        <f t="shared" si="3"/>
        <v>2021 год</v>
      </c>
      <c r="AM79" s="40">
        <f>1</f>
        <v>1</v>
      </c>
    </row>
    <row r="80" spans="1:39" x14ac:dyDescent="0.25">
      <c r="A80" s="587">
        <v>73</v>
      </c>
      <c r="B80" s="621" t="s">
        <v>833</v>
      </c>
      <c r="C80" s="100">
        <v>44232</v>
      </c>
      <c r="D80" s="578" t="s">
        <v>1179</v>
      </c>
      <c r="E80" s="578" t="s">
        <v>716</v>
      </c>
      <c r="F80" s="580">
        <v>960340000376</v>
      </c>
      <c r="G80" s="578" t="s">
        <v>865</v>
      </c>
      <c r="H80" s="582" t="s">
        <v>1670</v>
      </c>
      <c r="I80" s="98">
        <v>3481930375</v>
      </c>
      <c r="J80" s="264">
        <v>17098.46</v>
      </c>
      <c r="K80" s="264"/>
      <c r="L80" s="264"/>
      <c r="M80" s="264"/>
      <c r="N80" s="264"/>
      <c r="O80" s="100">
        <v>44256</v>
      </c>
      <c r="P80" s="564">
        <v>80</v>
      </c>
      <c r="Q80" s="564">
        <v>80</v>
      </c>
      <c r="R80" s="578">
        <v>7.9</v>
      </c>
      <c r="S80" s="100" t="s">
        <v>1991</v>
      </c>
      <c r="T80" s="112">
        <v>44592</v>
      </c>
      <c r="U80" s="578"/>
      <c r="V80" s="578"/>
      <c r="W80" s="578"/>
      <c r="X80" s="100">
        <v>44506</v>
      </c>
      <c r="Y80" s="564">
        <v>30330124</v>
      </c>
      <c r="Z80" s="30"/>
      <c r="AA80" s="112"/>
      <c r="AB80" s="112"/>
      <c r="AC80" s="112"/>
      <c r="AD80" s="54">
        <v>84</v>
      </c>
      <c r="AE80" s="618"/>
      <c r="AF80" s="618"/>
      <c r="AG80" s="618"/>
      <c r="AH80" s="618"/>
      <c r="AI80" s="587" t="s">
        <v>1179</v>
      </c>
      <c r="AJ80" s="578" t="s">
        <v>1179</v>
      </c>
      <c r="AK80" s="40" t="str">
        <f t="shared" si="2"/>
        <v>2021 год</v>
      </c>
      <c r="AL80" s="40" t="str">
        <f t="shared" si="3"/>
        <v>2021 год</v>
      </c>
      <c r="AM80" s="40">
        <f>1</f>
        <v>1</v>
      </c>
    </row>
    <row r="81" spans="1:39" x14ac:dyDescent="0.25">
      <c r="A81" s="587">
        <v>74</v>
      </c>
      <c r="B81" s="621" t="s">
        <v>834</v>
      </c>
      <c r="C81" s="100">
        <v>44230</v>
      </c>
      <c r="D81" s="578" t="s">
        <v>1179</v>
      </c>
      <c r="E81" s="578" t="s">
        <v>712</v>
      </c>
      <c r="F81" s="583" t="s">
        <v>1640</v>
      </c>
      <c r="G81" s="578" t="s">
        <v>866</v>
      </c>
      <c r="H81" s="584" t="s">
        <v>2206</v>
      </c>
      <c r="I81" s="98">
        <v>3336486162</v>
      </c>
      <c r="J81" s="264">
        <v>16227.57</v>
      </c>
      <c r="K81" s="264"/>
      <c r="L81" s="264"/>
      <c r="M81" s="264"/>
      <c r="N81" s="264"/>
      <c r="O81" s="100">
        <v>44251</v>
      </c>
      <c r="P81" s="564">
        <v>160</v>
      </c>
      <c r="Q81" s="564">
        <v>182</v>
      </c>
      <c r="R81" s="578" t="s">
        <v>64</v>
      </c>
      <c r="S81" s="100">
        <v>44158</v>
      </c>
      <c r="T81" s="112">
        <v>44615</v>
      </c>
      <c r="U81" s="578"/>
      <c r="V81" s="578"/>
      <c r="W81" s="578"/>
      <c r="X81" s="100">
        <v>44538</v>
      </c>
      <c r="Y81" s="564">
        <v>28025328</v>
      </c>
      <c r="Z81" s="30"/>
      <c r="AA81" s="112"/>
      <c r="AB81" s="112"/>
      <c r="AC81" s="112"/>
      <c r="AD81" s="54">
        <v>63</v>
      </c>
      <c r="AE81" s="618"/>
      <c r="AF81" s="618"/>
      <c r="AG81" s="618"/>
      <c r="AH81" s="618"/>
      <c r="AI81" s="587" t="s">
        <v>1179</v>
      </c>
      <c r="AJ81" s="578" t="s">
        <v>1179</v>
      </c>
      <c r="AK81" s="40" t="str">
        <f t="shared" si="2"/>
        <v>2021 год</v>
      </c>
      <c r="AL81" s="40" t="str">
        <f t="shared" si="3"/>
        <v>2021 год</v>
      </c>
      <c r="AM81" s="40">
        <f>1</f>
        <v>1</v>
      </c>
    </row>
    <row r="82" spans="1:39" x14ac:dyDescent="0.25">
      <c r="A82" s="587">
        <v>75</v>
      </c>
      <c r="B82" s="621" t="s">
        <v>835</v>
      </c>
      <c r="C82" s="100">
        <v>44378</v>
      </c>
      <c r="D82" s="578" t="s">
        <v>1179</v>
      </c>
      <c r="E82" s="578" t="s">
        <v>716</v>
      </c>
      <c r="F82" s="580">
        <v>960340000376</v>
      </c>
      <c r="G82" s="54" t="s">
        <v>867</v>
      </c>
      <c r="H82" s="582" t="s">
        <v>2199</v>
      </c>
      <c r="I82" s="98">
        <v>2206013208</v>
      </c>
      <c r="J82" s="264">
        <v>15957</v>
      </c>
      <c r="K82" s="264"/>
      <c r="L82" s="264"/>
      <c r="M82" s="264"/>
      <c r="N82" s="264"/>
      <c r="O82" s="100">
        <v>44404</v>
      </c>
      <c r="P82" s="564">
        <v>170</v>
      </c>
      <c r="Q82" s="564">
        <v>170</v>
      </c>
      <c r="R82" s="578">
        <v>18</v>
      </c>
      <c r="S82" s="100">
        <v>44246</v>
      </c>
      <c r="T82" s="112">
        <v>44611</v>
      </c>
      <c r="U82" s="578"/>
      <c r="V82" s="578"/>
      <c r="W82" s="578"/>
      <c r="X82" s="100">
        <v>44532</v>
      </c>
      <c r="Y82" s="564">
        <v>19793732</v>
      </c>
      <c r="Z82" s="30"/>
      <c r="AA82" s="112"/>
      <c r="AB82" s="112"/>
      <c r="AC82" s="112"/>
      <c r="AD82" s="54">
        <v>74</v>
      </c>
      <c r="AE82" s="618"/>
      <c r="AF82" s="618"/>
      <c r="AG82" s="618"/>
      <c r="AH82" s="618"/>
      <c r="AI82" s="587" t="s">
        <v>1179</v>
      </c>
      <c r="AJ82" s="578" t="s">
        <v>1179</v>
      </c>
      <c r="AK82" s="40" t="str">
        <f t="shared" si="2"/>
        <v>2021 год</v>
      </c>
      <c r="AL82" s="40" t="str">
        <f t="shared" si="3"/>
        <v>2021 год</v>
      </c>
      <c r="AM82" s="40">
        <f>1</f>
        <v>1</v>
      </c>
    </row>
    <row r="83" spans="1:39" x14ac:dyDescent="0.25">
      <c r="A83" s="587">
        <v>76</v>
      </c>
      <c r="B83" s="621" t="s">
        <v>836</v>
      </c>
      <c r="C83" s="100">
        <v>44375</v>
      </c>
      <c r="D83" s="578" t="s">
        <v>176</v>
      </c>
      <c r="E83" s="578" t="s">
        <v>892</v>
      </c>
      <c r="F83" s="584" t="s">
        <v>2095</v>
      </c>
      <c r="G83" s="578" t="s">
        <v>868</v>
      </c>
      <c r="H83" s="584" t="s">
        <v>2174</v>
      </c>
      <c r="I83" s="98">
        <v>922782493</v>
      </c>
      <c r="J83" s="264">
        <v>6326.2</v>
      </c>
      <c r="K83" s="264"/>
      <c r="L83" s="264"/>
      <c r="M83" s="264"/>
      <c r="N83" s="264"/>
      <c r="O83" s="100">
        <v>44398</v>
      </c>
      <c r="P83" s="564">
        <v>72</v>
      </c>
      <c r="Q83" s="564">
        <v>72</v>
      </c>
      <c r="R83" s="578">
        <v>9</v>
      </c>
      <c r="S83" s="100">
        <v>44234</v>
      </c>
      <c r="T83" s="112">
        <v>44642</v>
      </c>
      <c r="U83" s="578"/>
      <c r="V83" s="578"/>
      <c r="W83" s="578"/>
      <c r="X83" s="100">
        <v>44615</v>
      </c>
      <c r="Y83" s="564">
        <v>8506904</v>
      </c>
      <c r="Z83" s="30" t="s">
        <v>1173</v>
      </c>
      <c r="AA83" s="112"/>
      <c r="AB83" s="112"/>
      <c r="AC83" s="112"/>
      <c r="AD83" s="54">
        <v>80</v>
      </c>
      <c r="AE83" s="618"/>
      <c r="AF83" s="618"/>
      <c r="AG83" s="618"/>
      <c r="AH83" s="618"/>
      <c r="AI83" s="587" t="s">
        <v>176</v>
      </c>
      <c r="AJ83" s="578" t="s">
        <v>176</v>
      </c>
      <c r="AK83" s="40" t="str">
        <f t="shared" si="2"/>
        <v>2021 год</v>
      </c>
      <c r="AL83" s="40" t="str">
        <f t="shared" si="3"/>
        <v>2021 год</v>
      </c>
      <c r="AM83" s="40">
        <f>1</f>
        <v>1</v>
      </c>
    </row>
    <row r="84" spans="1:39" x14ac:dyDescent="0.25">
      <c r="A84" s="587">
        <v>77</v>
      </c>
      <c r="B84" s="621" t="s">
        <v>837</v>
      </c>
      <c r="C84" s="100">
        <v>44313</v>
      </c>
      <c r="D84" s="578" t="s">
        <v>759</v>
      </c>
      <c r="E84" s="578" t="s">
        <v>891</v>
      </c>
      <c r="F84" s="584" t="s">
        <v>2113</v>
      </c>
      <c r="G84" s="578" t="s">
        <v>1753</v>
      </c>
      <c r="H84" s="584" t="s">
        <v>2207</v>
      </c>
      <c r="I84" s="98">
        <v>2271535493</v>
      </c>
      <c r="J84" s="264">
        <v>11439.2</v>
      </c>
      <c r="K84" s="264"/>
      <c r="L84" s="264"/>
      <c r="M84" s="264"/>
      <c r="N84" s="264"/>
      <c r="O84" s="100">
        <v>44356</v>
      </c>
      <c r="P84" s="564">
        <v>234</v>
      </c>
      <c r="Q84" s="564">
        <v>234</v>
      </c>
      <c r="R84" s="578">
        <v>9</v>
      </c>
      <c r="S84" s="100">
        <v>44260</v>
      </c>
      <c r="T84" s="112">
        <v>44686</v>
      </c>
      <c r="U84" s="578"/>
      <c r="V84" s="578"/>
      <c r="W84" s="578"/>
      <c r="X84" s="100">
        <v>44510</v>
      </c>
      <c r="Y84" s="564">
        <v>18977698</v>
      </c>
      <c r="Z84" s="30"/>
      <c r="AA84" s="112"/>
      <c r="AB84" s="112"/>
      <c r="AC84" s="112"/>
      <c r="AD84" s="54">
        <v>73</v>
      </c>
      <c r="AE84" s="618"/>
      <c r="AF84" s="618"/>
      <c r="AG84" s="618"/>
      <c r="AH84" s="618"/>
      <c r="AI84" s="587" t="s">
        <v>1843</v>
      </c>
      <c r="AJ84" s="578" t="s">
        <v>1843</v>
      </c>
      <c r="AK84" s="40" t="str">
        <f t="shared" si="2"/>
        <v>2021 год</v>
      </c>
      <c r="AL84" s="40" t="str">
        <f t="shared" si="3"/>
        <v>2021 год</v>
      </c>
      <c r="AM84" s="40">
        <f>1</f>
        <v>1</v>
      </c>
    </row>
    <row r="85" spans="1:39" x14ac:dyDescent="0.25">
      <c r="A85" s="587">
        <v>78</v>
      </c>
      <c r="B85" s="621" t="s">
        <v>838</v>
      </c>
      <c r="C85" s="100">
        <v>44287</v>
      </c>
      <c r="D85" s="578" t="s">
        <v>1179</v>
      </c>
      <c r="E85" s="578" t="s">
        <v>890</v>
      </c>
      <c r="F85" s="584" t="s">
        <v>2096</v>
      </c>
      <c r="G85" s="578" t="s">
        <v>869</v>
      </c>
      <c r="H85" s="584" t="s">
        <v>2165</v>
      </c>
      <c r="I85" s="98">
        <v>2374319871</v>
      </c>
      <c r="J85" s="264">
        <v>15603.49</v>
      </c>
      <c r="K85" s="264"/>
      <c r="L85" s="264"/>
      <c r="M85" s="264"/>
      <c r="N85" s="264"/>
      <c r="O85" s="100">
        <v>44309</v>
      </c>
      <c r="P85" s="564">
        <v>131</v>
      </c>
      <c r="Q85" s="564">
        <v>159</v>
      </c>
      <c r="R85" s="578">
        <v>24</v>
      </c>
      <c r="S85" s="100">
        <v>44235</v>
      </c>
      <c r="T85" s="112">
        <v>44688</v>
      </c>
      <c r="U85" s="578"/>
      <c r="V85" s="578"/>
      <c r="W85" s="578"/>
      <c r="X85" s="100">
        <v>44606</v>
      </c>
      <c r="Y85" s="564">
        <v>20073340</v>
      </c>
      <c r="Z85" s="30"/>
      <c r="AA85" s="112"/>
      <c r="AB85" s="112"/>
      <c r="AC85" s="112"/>
      <c r="AD85" s="54">
        <v>77</v>
      </c>
      <c r="AE85" s="618"/>
      <c r="AF85" s="618"/>
      <c r="AG85" s="618"/>
      <c r="AH85" s="618"/>
      <c r="AI85" s="587" t="s">
        <v>1179</v>
      </c>
      <c r="AJ85" s="578" t="s">
        <v>1179</v>
      </c>
      <c r="AK85" s="40" t="str">
        <f t="shared" si="2"/>
        <v>2021 год</v>
      </c>
      <c r="AL85" s="40" t="str">
        <f t="shared" si="3"/>
        <v>2021 год</v>
      </c>
      <c r="AM85" s="40">
        <f>1</f>
        <v>1</v>
      </c>
    </row>
    <row r="86" spans="1:39" x14ac:dyDescent="0.25">
      <c r="A86" s="587">
        <v>79</v>
      </c>
      <c r="B86" s="621" t="s">
        <v>839</v>
      </c>
      <c r="C86" s="100">
        <v>44299</v>
      </c>
      <c r="D86" s="578" t="s">
        <v>753</v>
      </c>
      <c r="E86" s="578" t="s">
        <v>685</v>
      </c>
      <c r="F86" s="584" t="s">
        <v>1955</v>
      </c>
      <c r="G86" s="578" t="s">
        <v>870</v>
      </c>
      <c r="H86" s="584" t="s">
        <v>2191</v>
      </c>
      <c r="I86" s="98">
        <v>1499679126</v>
      </c>
      <c r="J86" s="264">
        <v>19657.2</v>
      </c>
      <c r="K86" s="264"/>
      <c r="L86" s="264"/>
      <c r="M86" s="264"/>
      <c r="N86" s="264"/>
      <c r="O86" s="100">
        <v>44309</v>
      </c>
      <c r="P86" s="564">
        <v>303</v>
      </c>
      <c r="Q86" s="564">
        <v>322</v>
      </c>
      <c r="R86" s="578" t="s">
        <v>43</v>
      </c>
      <c r="S86" s="100">
        <v>44217</v>
      </c>
      <c r="T86" s="112">
        <v>44702</v>
      </c>
      <c r="U86" s="578"/>
      <c r="V86" s="578"/>
      <c r="W86" s="578"/>
      <c r="X86" s="100">
        <v>44557</v>
      </c>
      <c r="Y86" s="564">
        <v>13332057</v>
      </c>
      <c r="Z86" s="30" t="s">
        <v>662</v>
      </c>
      <c r="AA86" s="112"/>
      <c r="AB86" s="112" t="s">
        <v>595</v>
      </c>
      <c r="AC86" s="112"/>
      <c r="AD86" s="54">
        <v>95</v>
      </c>
      <c r="AE86" s="618"/>
      <c r="AF86" s="618"/>
      <c r="AG86" s="618"/>
      <c r="AH86" s="618"/>
      <c r="AI86" s="587" t="s">
        <v>23</v>
      </c>
      <c r="AJ86" s="578" t="s">
        <v>23</v>
      </c>
      <c r="AK86" s="40" t="str">
        <f t="shared" si="2"/>
        <v>2021 год</v>
      </c>
      <c r="AL86" s="40" t="str">
        <f t="shared" si="3"/>
        <v>2021 год</v>
      </c>
      <c r="AM86" s="40">
        <f>1</f>
        <v>1</v>
      </c>
    </row>
    <row r="87" spans="1:39" x14ac:dyDescent="0.25">
      <c r="A87" s="587">
        <v>80</v>
      </c>
      <c r="B87" s="621" t="s">
        <v>840</v>
      </c>
      <c r="C87" s="100">
        <v>44260</v>
      </c>
      <c r="D87" s="578" t="s">
        <v>1179</v>
      </c>
      <c r="E87" s="578" t="s">
        <v>725</v>
      </c>
      <c r="F87" s="584" t="s">
        <v>2098</v>
      </c>
      <c r="G87" s="578" t="s">
        <v>871</v>
      </c>
      <c r="H87" s="584" t="s">
        <v>2212</v>
      </c>
      <c r="I87" s="98">
        <v>5890831329</v>
      </c>
      <c r="J87" s="264">
        <v>29839.25</v>
      </c>
      <c r="K87" s="264"/>
      <c r="L87" s="264"/>
      <c r="M87" s="264"/>
      <c r="N87" s="264"/>
      <c r="O87" s="100">
        <v>44287</v>
      </c>
      <c r="P87" s="564">
        <v>256</v>
      </c>
      <c r="Q87" s="564">
        <v>256</v>
      </c>
      <c r="R87" s="578">
        <v>9</v>
      </c>
      <c r="S87" s="100">
        <v>44239</v>
      </c>
      <c r="T87" s="112">
        <v>44693</v>
      </c>
      <c r="U87" s="578"/>
      <c r="V87" s="578"/>
      <c r="W87" s="578"/>
      <c r="X87" s="100">
        <v>44686</v>
      </c>
      <c r="Y87" s="564">
        <v>57798194</v>
      </c>
      <c r="Z87" s="30"/>
      <c r="AA87" s="564">
        <v>1401206941</v>
      </c>
      <c r="AB87" s="112"/>
      <c r="AC87" s="112"/>
      <c r="AD87" s="54">
        <v>92</v>
      </c>
      <c r="AE87" s="618"/>
      <c r="AF87" s="618"/>
      <c r="AG87" s="618"/>
      <c r="AH87" s="618"/>
      <c r="AI87" s="587" t="s">
        <v>1179</v>
      </c>
      <c r="AJ87" s="578" t="s">
        <v>1179</v>
      </c>
      <c r="AK87" s="40" t="str">
        <f t="shared" si="2"/>
        <v>2021 год</v>
      </c>
      <c r="AL87" s="40" t="str">
        <f t="shared" si="3"/>
        <v>2021 год</v>
      </c>
      <c r="AM87" s="40">
        <f>1</f>
        <v>1</v>
      </c>
    </row>
    <row r="88" spans="1:39" x14ac:dyDescent="0.25">
      <c r="A88" s="587">
        <v>81</v>
      </c>
      <c r="B88" s="621" t="s">
        <v>841</v>
      </c>
      <c r="C88" s="100">
        <v>44362</v>
      </c>
      <c r="D88" s="578" t="s">
        <v>753</v>
      </c>
      <c r="E88" s="578" t="s">
        <v>889</v>
      </c>
      <c r="F88" s="589">
        <v>970540007997</v>
      </c>
      <c r="G88" s="578" t="s">
        <v>872</v>
      </c>
      <c r="H88" s="590">
        <v>111240020442</v>
      </c>
      <c r="I88" s="98">
        <v>3185907288</v>
      </c>
      <c r="J88" s="264">
        <v>14982.7</v>
      </c>
      <c r="K88" s="264"/>
      <c r="L88" s="264"/>
      <c r="M88" s="264"/>
      <c r="N88" s="264"/>
      <c r="O88" s="100">
        <v>44390</v>
      </c>
      <c r="P88" s="564">
        <v>184</v>
      </c>
      <c r="Q88" s="564">
        <v>184</v>
      </c>
      <c r="R88" s="578">
        <v>12</v>
      </c>
      <c r="S88" s="100">
        <v>44286</v>
      </c>
      <c r="T88" s="112">
        <v>44742</v>
      </c>
      <c r="U88" s="578"/>
      <c r="V88" s="578"/>
      <c r="W88" s="578"/>
      <c r="X88" s="100">
        <v>44672</v>
      </c>
      <c r="Y88" s="564">
        <v>26936820</v>
      </c>
      <c r="Z88" s="30"/>
      <c r="AA88" s="112"/>
      <c r="AB88" s="112"/>
      <c r="AC88" s="112"/>
      <c r="AD88" s="54">
        <v>68</v>
      </c>
      <c r="AE88" s="618"/>
      <c r="AF88" s="618"/>
      <c r="AG88" s="618"/>
      <c r="AH88" s="618"/>
      <c r="AI88" s="587" t="s">
        <v>23</v>
      </c>
      <c r="AJ88" s="578" t="s">
        <v>23</v>
      </c>
      <c r="AK88" s="40" t="str">
        <f t="shared" si="2"/>
        <v>2021 год</v>
      </c>
      <c r="AL88" s="40" t="str">
        <f t="shared" si="3"/>
        <v>2021 год</v>
      </c>
      <c r="AM88" s="40">
        <f>1</f>
        <v>1</v>
      </c>
    </row>
    <row r="89" spans="1:39" x14ac:dyDescent="0.25">
      <c r="A89" s="587">
        <v>82</v>
      </c>
      <c r="B89" s="621" t="s">
        <v>842</v>
      </c>
      <c r="C89" s="100">
        <v>44321</v>
      </c>
      <c r="D89" s="578" t="s">
        <v>1179</v>
      </c>
      <c r="E89" s="578" t="s">
        <v>888</v>
      </c>
      <c r="F89" s="584" t="s">
        <v>2108</v>
      </c>
      <c r="G89" s="578" t="s">
        <v>873</v>
      </c>
      <c r="H89" s="584" t="s">
        <v>2127</v>
      </c>
      <c r="I89" s="98">
        <v>9247229121</v>
      </c>
      <c r="J89" s="264">
        <v>37650.199999999997</v>
      </c>
      <c r="K89" s="264"/>
      <c r="L89" s="264"/>
      <c r="M89" s="264"/>
      <c r="N89" s="264"/>
      <c r="O89" s="100">
        <v>44355</v>
      </c>
      <c r="P89" s="564">
        <v>328</v>
      </c>
      <c r="Q89" s="564">
        <v>360</v>
      </c>
      <c r="R89" s="578" t="s">
        <v>193</v>
      </c>
      <c r="S89" s="100">
        <v>44222</v>
      </c>
      <c r="T89" s="112">
        <v>44707</v>
      </c>
      <c r="U89" s="578"/>
      <c r="V89" s="578"/>
      <c r="W89" s="578"/>
      <c r="X89" s="100">
        <v>44694</v>
      </c>
      <c r="Y89" s="564">
        <v>78601448</v>
      </c>
      <c r="Z89" s="30"/>
      <c r="AA89" s="112"/>
      <c r="AB89" s="112"/>
      <c r="AC89" s="112"/>
      <c r="AD89" s="54">
        <v>70</v>
      </c>
      <c r="AE89" s="618"/>
      <c r="AF89" s="618"/>
      <c r="AG89" s="618"/>
      <c r="AH89" s="618"/>
      <c r="AI89" s="587" t="s">
        <v>1179</v>
      </c>
      <c r="AJ89" s="578" t="s">
        <v>1179</v>
      </c>
      <c r="AK89" s="40" t="str">
        <f t="shared" si="2"/>
        <v>2021 год</v>
      </c>
      <c r="AL89" s="40" t="str">
        <f t="shared" si="3"/>
        <v>2021 год</v>
      </c>
      <c r="AM89" s="40">
        <f>1</f>
        <v>1</v>
      </c>
    </row>
    <row r="90" spans="1:39" x14ac:dyDescent="0.25">
      <c r="A90" s="587">
        <v>83</v>
      </c>
      <c r="B90" s="621" t="s">
        <v>843</v>
      </c>
      <c r="C90" s="100">
        <v>44217</v>
      </c>
      <c r="D90" s="578" t="s">
        <v>1179</v>
      </c>
      <c r="E90" s="578" t="s">
        <v>695</v>
      </c>
      <c r="F90" s="580">
        <v>960340000376</v>
      </c>
      <c r="G90" s="578" t="s">
        <v>717</v>
      </c>
      <c r="H90" s="584" t="s">
        <v>1967</v>
      </c>
      <c r="I90" s="98">
        <v>2762404808</v>
      </c>
      <c r="J90" s="264">
        <v>17400.61</v>
      </c>
      <c r="K90" s="264"/>
      <c r="L90" s="264"/>
      <c r="M90" s="264"/>
      <c r="N90" s="264"/>
      <c r="O90" s="100">
        <v>44239</v>
      </c>
      <c r="P90" s="564">
        <v>136</v>
      </c>
      <c r="Q90" s="33">
        <v>136</v>
      </c>
      <c r="R90" s="578">
        <v>18</v>
      </c>
      <c r="S90" s="100">
        <v>44187</v>
      </c>
      <c r="T90" s="112">
        <v>44795</v>
      </c>
      <c r="U90" s="578"/>
      <c r="V90" s="578"/>
      <c r="W90" s="578"/>
      <c r="X90" s="100">
        <v>44792</v>
      </c>
      <c r="Y90" s="564">
        <v>25201828</v>
      </c>
      <c r="Z90" s="30"/>
      <c r="AA90" s="564">
        <v>1080839705</v>
      </c>
      <c r="AB90" s="112"/>
      <c r="AC90" s="112"/>
      <c r="AD90" s="54">
        <v>84</v>
      </c>
      <c r="AE90" s="618"/>
      <c r="AF90" s="618"/>
      <c r="AG90" s="618"/>
      <c r="AH90" s="618"/>
      <c r="AI90" s="587" t="s">
        <v>1179</v>
      </c>
      <c r="AJ90" s="578" t="s">
        <v>1179</v>
      </c>
      <c r="AK90" s="40" t="str">
        <f t="shared" si="2"/>
        <v>2021 год</v>
      </c>
      <c r="AL90" s="40" t="str">
        <f t="shared" si="3"/>
        <v>2021 год</v>
      </c>
      <c r="AM90" s="40">
        <f>1</f>
        <v>1</v>
      </c>
    </row>
    <row r="91" spans="1:39" x14ac:dyDescent="0.25">
      <c r="A91" s="587">
        <v>84</v>
      </c>
      <c r="B91" s="621" t="s">
        <v>844</v>
      </c>
      <c r="C91" s="100">
        <v>44462</v>
      </c>
      <c r="D91" s="578" t="s">
        <v>1179</v>
      </c>
      <c r="E91" s="578" t="s">
        <v>887</v>
      </c>
      <c r="F91" s="584" t="s">
        <v>2101</v>
      </c>
      <c r="G91" s="578" t="s">
        <v>2128</v>
      </c>
      <c r="H91" s="584" t="s">
        <v>2129</v>
      </c>
      <c r="I91" s="98">
        <v>8276765515</v>
      </c>
      <c r="J91" s="264">
        <v>29337.95</v>
      </c>
      <c r="K91" s="264"/>
      <c r="L91" s="264"/>
      <c r="M91" s="264"/>
      <c r="N91" s="264"/>
      <c r="O91" s="100">
        <v>44474</v>
      </c>
      <c r="P91" s="564">
        <v>322</v>
      </c>
      <c r="Q91" s="564">
        <v>332</v>
      </c>
      <c r="R91" s="578">
        <v>9</v>
      </c>
      <c r="S91" s="100">
        <v>44302</v>
      </c>
      <c r="T91" s="112">
        <v>44758</v>
      </c>
      <c r="U91" s="578"/>
      <c r="V91" s="578"/>
      <c r="W91" s="578"/>
      <c r="X91" s="100">
        <v>44719</v>
      </c>
      <c r="Y91" s="564">
        <v>72595753</v>
      </c>
      <c r="Z91" s="30"/>
      <c r="AA91" s="112"/>
      <c r="AB91" s="112"/>
      <c r="AC91" s="112"/>
      <c r="AD91" s="54">
        <v>72</v>
      </c>
      <c r="AE91" s="618"/>
      <c r="AF91" s="618"/>
      <c r="AG91" s="618"/>
      <c r="AH91" s="618"/>
      <c r="AI91" s="587" t="s">
        <v>1179</v>
      </c>
      <c r="AJ91" s="578" t="s">
        <v>1179</v>
      </c>
      <c r="AK91" s="40" t="str">
        <f t="shared" si="2"/>
        <v>2021 год</v>
      </c>
      <c r="AL91" s="40" t="str">
        <f t="shared" si="3"/>
        <v>2021 год</v>
      </c>
      <c r="AM91" s="40">
        <f>1</f>
        <v>1</v>
      </c>
    </row>
    <row r="92" spans="1:39" ht="31.5" x14ac:dyDescent="0.25">
      <c r="A92" s="587">
        <v>85</v>
      </c>
      <c r="B92" s="621" t="s">
        <v>845</v>
      </c>
      <c r="C92" s="100">
        <v>44287</v>
      </c>
      <c r="D92" s="578" t="s">
        <v>753</v>
      </c>
      <c r="E92" s="54" t="s">
        <v>953</v>
      </c>
      <c r="F92" s="582" t="s">
        <v>2106</v>
      </c>
      <c r="G92" s="578" t="s">
        <v>874</v>
      </c>
      <c r="H92" s="582" t="s">
        <v>2201</v>
      </c>
      <c r="I92" s="98">
        <v>3001447327</v>
      </c>
      <c r="J92" s="264">
        <v>14814.8</v>
      </c>
      <c r="K92" s="264"/>
      <c r="L92" s="264"/>
      <c r="M92" s="264"/>
      <c r="N92" s="264"/>
      <c r="O92" s="100">
        <v>44342</v>
      </c>
      <c r="P92" s="564">
        <v>165</v>
      </c>
      <c r="Q92" s="564">
        <v>165</v>
      </c>
      <c r="R92" s="578">
        <v>12</v>
      </c>
      <c r="S92" s="100">
        <v>44187</v>
      </c>
      <c r="T92" s="112">
        <v>44734</v>
      </c>
      <c r="U92" s="578"/>
      <c r="V92" s="578"/>
      <c r="W92" s="578"/>
      <c r="X92" s="100">
        <v>44722</v>
      </c>
      <c r="Y92" s="564">
        <v>29331899</v>
      </c>
      <c r="Z92" s="30" t="s">
        <v>2365</v>
      </c>
      <c r="AA92" s="564">
        <v>862013053</v>
      </c>
      <c r="AB92" s="112" t="s">
        <v>621</v>
      </c>
      <c r="AC92" s="112"/>
      <c r="AD92" s="54">
        <v>98</v>
      </c>
      <c r="AE92" s="618"/>
      <c r="AF92" s="618"/>
      <c r="AG92" s="618"/>
      <c r="AH92" s="618"/>
      <c r="AI92" s="587" t="s">
        <v>23</v>
      </c>
      <c r="AJ92" s="578" t="s">
        <v>23</v>
      </c>
      <c r="AK92" s="40" t="str">
        <f t="shared" si="2"/>
        <v>2021 год</v>
      </c>
      <c r="AL92" s="40" t="str">
        <f t="shared" si="3"/>
        <v>2021 год</v>
      </c>
      <c r="AM92" s="40">
        <f>1</f>
        <v>1</v>
      </c>
    </row>
    <row r="93" spans="1:39" ht="31.5" x14ac:dyDescent="0.25">
      <c r="A93" s="587">
        <v>86</v>
      </c>
      <c r="B93" s="621" t="s">
        <v>846</v>
      </c>
      <c r="C93" s="100">
        <v>44375</v>
      </c>
      <c r="D93" s="578" t="s">
        <v>753</v>
      </c>
      <c r="E93" s="578" t="s">
        <v>685</v>
      </c>
      <c r="F93" s="584" t="s">
        <v>1955</v>
      </c>
      <c r="G93" s="578" t="s">
        <v>688</v>
      </c>
      <c r="H93" s="582" t="s">
        <v>2187</v>
      </c>
      <c r="I93" s="98">
        <v>7142974193</v>
      </c>
      <c r="J93" s="264">
        <v>73948.3</v>
      </c>
      <c r="K93" s="264"/>
      <c r="L93" s="264"/>
      <c r="M93" s="264"/>
      <c r="N93" s="264"/>
      <c r="O93" s="100">
        <v>44392</v>
      </c>
      <c r="P93" s="564">
        <v>882</v>
      </c>
      <c r="Q93" s="564">
        <v>1058</v>
      </c>
      <c r="R93" s="578">
        <v>9</v>
      </c>
      <c r="S93" s="100">
        <v>44347</v>
      </c>
      <c r="T93" s="112">
        <v>44742</v>
      </c>
      <c r="U93" s="578"/>
      <c r="V93" s="578"/>
      <c r="W93" s="578"/>
      <c r="X93" s="100">
        <v>44719</v>
      </c>
      <c r="Y93" s="564">
        <v>71429472</v>
      </c>
      <c r="Z93" s="30" t="s">
        <v>2366</v>
      </c>
      <c r="AA93" s="112"/>
      <c r="AB93" s="112" t="s">
        <v>595</v>
      </c>
      <c r="AC93" s="112"/>
      <c r="AD93" s="54">
        <v>68</v>
      </c>
      <c r="AE93" s="618"/>
      <c r="AF93" s="618"/>
      <c r="AG93" s="618"/>
      <c r="AH93" s="618"/>
      <c r="AI93" s="587" t="s">
        <v>23</v>
      </c>
      <c r="AJ93" s="578" t="s">
        <v>23</v>
      </c>
      <c r="AK93" s="40" t="str">
        <f t="shared" si="2"/>
        <v>2021 год</v>
      </c>
      <c r="AL93" s="40" t="str">
        <f t="shared" si="3"/>
        <v>2021 год</v>
      </c>
      <c r="AM93" s="40">
        <f>1</f>
        <v>1</v>
      </c>
    </row>
    <row r="94" spans="1:39" x14ac:dyDescent="0.25">
      <c r="A94" s="587">
        <v>87</v>
      </c>
      <c r="B94" s="621" t="s">
        <v>848</v>
      </c>
      <c r="C94" s="100">
        <v>44455</v>
      </c>
      <c r="D94" s="578" t="s">
        <v>753</v>
      </c>
      <c r="E94" s="578" t="s">
        <v>685</v>
      </c>
      <c r="F94" s="584" t="s">
        <v>1955</v>
      </c>
      <c r="G94" s="578" t="s">
        <v>875</v>
      </c>
      <c r="H94" s="584" t="s">
        <v>2196</v>
      </c>
      <c r="I94" s="98">
        <v>7304262241</v>
      </c>
      <c r="J94" s="264">
        <v>80501.600000000006</v>
      </c>
      <c r="K94" s="264"/>
      <c r="L94" s="264"/>
      <c r="M94" s="264"/>
      <c r="N94" s="264"/>
      <c r="O94" s="100">
        <v>44469</v>
      </c>
      <c r="P94" s="564">
        <v>980</v>
      </c>
      <c r="Q94" s="564">
        <v>980</v>
      </c>
      <c r="R94" s="578">
        <v>5</v>
      </c>
      <c r="S94" s="100">
        <v>44410</v>
      </c>
      <c r="T94" s="112">
        <v>44744</v>
      </c>
      <c r="U94" s="578"/>
      <c r="V94" s="578"/>
      <c r="W94" s="578"/>
      <c r="X94" s="100">
        <v>44741</v>
      </c>
      <c r="Y94" s="564">
        <v>73042624</v>
      </c>
      <c r="Z94" s="30" t="s">
        <v>1757</v>
      </c>
      <c r="AA94" s="112"/>
      <c r="AB94" s="112" t="s">
        <v>595</v>
      </c>
      <c r="AC94" s="112"/>
      <c r="AD94" s="54">
        <v>68</v>
      </c>
      <c r="AE94" s="618"/>
      <c r="AF94" s="618"/>
      <c r="AG94" s="618"/>
      <c r="AH94" s="618"/>
      <c r="AI94" s="587" t="s">
        <v>23</v>
      </c>
      <c r="AJ94" s="578" t="s">
        <v>23</v>
      </c>
      <c r="AK94" s="40" t="str">
        <f t="shared" si="2"/>
        <v>2021 год</v>
      </c>
      <c r="AL94" s="40" t="str">
        <f t="shared" si="3"/>
        <v>2021 год</v>
      </c>
      <c r="AM94" s="40">
        <f>1</f>
        <v>1</v>
      </c>
    </row>
    <row r="95" spans="1:39" ht="31.5" x14ac:dyDescent="0.25">
      <c r="A95" s="587">
        <v>88</v>
      </c>
      <c r="B95" s="621" t="s">
        <v>849</v>
      </c>
      <c r="C95" s="100">
        <v>44509</v>
      </c>
      <c r="D95" s="578" t="s">
        <v>753</v>
      </c>
      <c r="E95" s="578" t="s">
        <v>685</v>
      </c>
      <c r="F95" s="584" t="s">
        <v>1955</v>
      </c>
      <c r="G95" s="578" t="s">
        <v>875</v>
      </c>
      <c r="H95" s="584" t="s">
        <v>2196</v>
      </c>
      <c r="I95" s="98">
        <v>4899793782</v>
      </c>
      <c r="J95" s="264">
        <v>60494</v>
      </c>
      <c r="K95" s="264"/>
      <c r="L95" s="264"/>
      <c r="M95" s="264"/>
      <c r="N95" s="264"/>
      <c r="O95" s="100">
        <v>44525</v>
      </c>
      <c r="P95" s="564">
        <v>730</v>
      </c>
      <c r="Q95" s="564">
        <v>730</v>
      </c>
      <c r="R95" s="578">
        <v>5</v>
      </c>
      <c r="S95" s="100">
        <v>44410</v>
      </c>
      <c r="T95" s="112">
        <v>44744</v>
      </c>
      <c r="U95" s="578"/>
      <c r="V95" s="578"/>
      <c r="W95" s="578"/>
      <c r="X95" s="100">
        <v>44741</v>
      </c>
      <c r="Y95" s="564">
        <v>48997938</v>
      </c>
      <c r="Z95" s="30" t="s">
        <v>2367</v>
      </c>
      <c r="AA95" s="112"/>
      <c r="AB95" s="112" t="s">
        <v>595</v>
      </c>
      <c r="AC95" s="112"/>
      <c r="AD95" s="54">
        <v>68</v>
      </c>
      <c r="AE95" s="618"/>
      <c r="AF95" s="618"/>
      <c r="AG95" s="618"/>
      <c r="AH95" s="618"/>
      <c r="AI95" s="587" t="s">
        <v>23</v>
      </c>
      <c r="AJ95" s="578" t="s">
        <v>23</v>
      </c>
      <c r="AK95" s="40" t="str">
        <f t="shared" si="2"/>
        <v>2021 год</v>
      </c>
      <c r="AL95" s="40" t="str">
        <f t="shared" si="3"/>
        <v>2021 год</v>
      </c>
      <c r="AM95" s="40">
        <f>1</f>
        <v>1</v>
      </c>
    </row>
    <row r="96" spans="1:39" x14ac:dyDescent="0.25">
      <c r="A96" s="587">
        <v>89</v>
      </c>
      <c r="B96" s="621" t="s">
        <v>850</v>
      </c>
      <c r="C96" s="100">
        <v>44404</v>
      </c>
      <c r="D96" s="578" t="s">
        <v>174</v>
      </c>
      <c r="E96" s="578" t="s">
        <v>693</v>
      </c>
      <c r="F96" s="584" t="s">
        <v>1643</v>
      </c>
      <c r="G96" s="578" t="s">
        <v>876</v>
      </c>
      <c r="H96" s="582" t="s">
        <v>2030</v>
      </c>
      <c r="I96" s="98">
        <v>6015465822</v>
      </c>
      <c r="J96" s="264">
        <v>24557.72</v>
      </c>
      <c r="K96" s="264"/>
      <c r="L96" s="264"/>
      <c r="M96" s="264"/>
      <c r="N96" s="264"/>
      <c r="O96" s="100">
        <v>44421</v>
      </c>
      <c r="P96" s="564">
        <v>288</v>
      </c>
      <c r="Q96" s="564">
        <v>288</v>
      </c>
      <c r="R96" s="578">
        <v>9</v>
      </c>
      <c r="S96" s="100">
        <v>44348</v>
      </c>
      <c r="T96" s="112">
        <v>44805</v>
      </c>
      <c r="U96" s="578"/>
      <c r="V96" s="578"/>
      <c r="W96" s="578"/>
      <c r="X96" s="100">
        <v>44754</v>
      </c>
      <c r="Y96" s="564">
        <v>60154658</v>
      </c>
      <c r="Z96" s="30" t="s">
        <v>664</v>
      </c>
      <c r="AA96" s="112"/>
      <c r="AB96" s="112" t="s">
        <v>599</v>
      </c>
      <c r="AC96" s="112"/>
      <c r="AD96" s="54">
        <v>88</v>
      </c>
      <c r="AE96" s="618"/>
      <c r="AF96" s="618"/>
      <c r="AG96" s="618"/>
      <c r="AH96" s="618"/>
      <c r="AI96" s="587" t="s">
        <v>174</v>
      </c>
      <c r="AJ96" s="578" t="s">
        <v>174</v>
      </c>
      <c r="AK96" s="40" t="str">
        <f t="shared" si="2"/>
        <v>2021 год</v>
      </c>
      <c r="AL96" s="40" t="str">
        <f t="shared" si="3"/>
        <v>2021 год</v>
      </c>
      <c r="AM96" s="40">
        <f>1</f>
        <v>1</v>
      </c>
    </row>
    <row r="97" spans="1:39" ht="31.5" x14ac:dyDescent="0.25">
      <c r="A97" s="587">
        <v>90</v>
      </c>
      <c r="B97" s="621" t="s">
        <v>851</v>
      </c>
      <c r="C97" s="100">
        <v>44238</v>
      </c>
      <c r="D97" s="578" t="s">
        <v>753</v>
      </c>
      <c r="E97" s="578" t="s">
        <v>685</v>
      </c>
      <c r="F97" s="584" t="s">
        <v>1955</v>
      </c>
      <c r="G97" s="578" t="s">
        <v>877</v>
      </c>
      <c r="H97" s="584" t="s">
        <v>2173</v>
      </c>
      <c r="I97" s="98">
        <v>4039352205</v>
      </c>
      <c r="J97" s="264">
        <v>47954.7</v>
      </c>
      <c r="K97" s="264"/>
      <c r="L97" s="264"/>
      <c r="M97" s="264"/>
      <c r="N97" s="264"/>
      <c r="O97" s="100">
        <v>44257</v>
      </c>
      <c r="P97" s="564">
        <v>353</v>
      </c>
      <c r="Q97" s="564">
        <v>374</v>
      </c>
      <c r="R97" s="578" t="s">
        <v>72</v>
      </c>
      <c r="S97" s="100">
        <v>44119</v>
      </c>
      <c r="T97" s="112">
        <v>44757</v>
      </c>
      <c r="U97" s="578"/>
      <c r="V97" s="578"/>
      <c r="W97" s="578"/>
      <c r="X97" s="100">
        <v>44750</v>
      </c>
      <c r="Y97" s="564">
        <v>40393522</v>
      </c>
      <c r="Z97" s="24" t="s">
        <v>2364</v>
      </c>
      <c r="AA97" s="578"/>
      <c r="AB97" s="578" t="s">
        <v>617</v>
      </c>
      <c r="AC97" s="578"/>
      <c r="AD97" s="54">
        <v>95</v>
      </c>
      <c r="AE97" s="618"/>
      <c r="AF97" s="618"/>
      <c r="AG97" s="618"/>
      <c r="AH97" s="618"/>
      <c r="AI97" s="587" t="s">
        <v>23</v>
      </c>
      <c r="AJ97" s="578" t="s">
        <v>23</v>
      </c>
      <c r="AK97" s="40" t="str">
        <f t="shared" si="2"/>
        <v>2021 год</v>
      </c>
      <c r="AL97" s="40" t="str">
        <f t="shared" si="3"/>
        <v>2021 год</v>
      </c>
      <c r="AM97" s="40">
        <f>1</f>
        <v>1</v>
      </c>
    </row>
    <row r="98" spans="1:39" x14ac:dyDescent="0.25">
      <c r="A98" s="587">
        <v>91</v>
      </c>
      <c r="B98" s="621" t="s">
        <v>852</v>
      </c>
      <c r="C98" s="100">
        <v>44306</v>
      </c>
      <c r="D98" s="578" t="s">
        <v>1179</v>
      </c>
      <c r="E98" s="578" t="s">
        <v>886</v>
      </c>
      <c r="F98" s="584" t="s">
        <v>2099</v>
      </c>
      <c r="G98" s="578" t="s">
        <v>878</v>
      </c>
      <c r="H98" s="584" t="s">
        <v>2150</v>
      </c>
      <c r="I98" s="98">
        <v>3601621272</v>
      </c>
      <c r="J98" s="264">
        <v>17438.599999999999</v>
      </c>
      <c r="K98" s="264"/>
      <c r="L98" s="264"/>
      <c r="M98" s="264"/>
      <c r="N98" s="264"/>
      <c r="O98" s="100">
        <v>44330</v>
      </c>
      <c r="P98" s="564">
        <v>165</v>
      </c>
      <c r="Q98" s="564">
        <v>165</v>
      </c>
      <c r="R98" s="578">
        <v>7</v>
      </c>
      <c r="S98" s="100">
        <v>44246</v>
      </c>
      <c r="T98" s="112">
        <v>44792</v>
      </c>
      <c r="U98" s="578"/>
      <c r="V98" s="578"/>
      <c r="W98" s="578"/>
      <c r="X98" s="100">
        <v>44706</v>
      </c>
      <c r="Y98" s="564">
        <v>35250302</v>
      </c>
      <c r="Z98" s="24" t="s">
        <v>624</v>
      </c>
      <c r="AA98" s="578"/>
      <c r="AB98" s="578" t="s">
        <v>596</v>
      </c>
      <c r="AC98" s="578"/>
      <c r="AD98" s="54">
        <v>80</v>
      </c>
      <c r="AE98" s="618"/>
      <c r="AF98" s="618"/>
      <c r="AG98" s="618"/>
      <c r="AH98" s="618"/>
      <c r="AI98" s="587" t="s">
        <v>1179</v>
      </c>
      <c r="AJ98" s="578" t="s">
        <v>1179</v>
      </c>
      <c r="AK98" s="40" t="str">
        <f t="shared" si="2"/>
        <v>2021 год</v>
      </c>
      <c r="AL98" s="40" t="str">
        <f t="shared" si="3"/>
        <v>2021 год</v>
      </c>
      <c r="AM98" s="40">
        <f>1</f>
        <v>1</v>
      </c>
    </row>
    <row r="99" spans="1:39" x14ac:dyDescent="0.25">
      <c r="A99" s="587">
        <v>92</v>
      </c>
      <c r="B99" s="621" t="s">
        <v>799</v>
      </c>
      <c r="C99" s="100">
        <v>44341</v>
      </c>
      <c r="D99" s="578" t="s">
        <v>1179</v>
      </c>
      <c r="E99" s="578" t="s">
        <v>716</v>
      </c>
      <c r="F99" s="580">
        <v>960340000376</v>
      </c>
      <c r="G99" s="578" t="s">
        <v>720</v>
      </c>
      <c r="H99" s="584" t="s">
        <v>2182</v>
      </c>
      <c r="I99" s="98">
        <v>2037222803</v>
      </c>
      <c r="J99" s="264">
        <v>16601</v>
      </c>
      <c r="K99" s="264"/>
      <c r="L99" s="264"/>
      <c r="M99" s="264"/>
      <c r="N99" s="264"/>
      <c r="O99" s="100">
        <v>44358</v>
      </c>
      <c r="P99" s="564">
        <v>114</v>
      </c>
      <c r="Q99" s="564">
        <v>114</v>
      </c>
      <c r="R99" s="578">
        <v>7</v>
      </c>
      <c r="S99" s="100">
        <v>44271</v>
      </c>
      <c r="T99" s="112">
        <v>44880</v>
      </c>
      <c r="U99" s="578"/>
      <c r="V99" s="578"/>
      <c r="W99" s="578"/>
      <c r="X99" s="100">
        <v>44725</v>
      </c>
      <c r="Y99" s="564"/>
      <c r="Z99" s="24"/>
      <c r="AA99" s="578"/>
      <c r="AB99" s="578"/>
      <c r="AC99" s="578"/>
      <c r="AD99" s="54">
        <v>84</v>
      </c>
      <c r="AE99" s="618"/>
      <c r="AF99" s="618"/>
      <c r="AG99" s="618"/>
      <c r="AH99" s="618"/>
      <c r="AI99" s="587" t="s">
        <v>1179</v>
      </c>
      <c r="AJ99" s="578" t="s">
        <v>1179</v>
      </c>
      <c r="AK99" s="40" t="str">
        <f t="shared" si="2"/>
        <v>2021 год</v>
      </c>
      <c r="AL99" s="40" t="str">
        <f t="shared" si="3"/>
        <v>2021 год</v>
      </c>
      <c r="AM99" s="40">
        <f>1</f>
        <v>1</v>
      </c>
    </row>
    <row r="100" spans="1:39" x14ac:dyDescent="0.25">
      <c r="A100" s="587">
        <v>93</v>
      </c>
      <c r="B100" s="621" t="s">
        <v>853</v>
      </c>
      <c r="C100" s="100">
        <v>44434</v>
      </c>
      <c r="D100" s="578" t="s">
        <v>1179</v>
      </c>
      <c r="E100" s="578" t="s">
        <v>885</v>
      </c>
      <c r="F100" s="582" t="s">
        <v>1877</v>
      </c>
      <c r="G100" s="578" t="s">
        <v>879</v>
      </c>
      <c r="H100" s="584" t="s">
        <v>2167</v>
      </c>
      <c r="I100" s="98">
        <v>7302547392</v>
      </c>
      <c r="J100" s="264">
        <v>26569.7</v>
      </c>
      <c r="K100" s="264"/>
      <c r="L100" s="264"/>
      <c r="M100" s="264"/>
      <c r="N100" s="264"/>
      <c r="O100" s="100">
        <v>44454</v>
      </c>
      <c r="P100" s="564">
        <v>285</v>
      </c>
      <c r="Q100" s="564">
        <v>285</v>
      </c>
      <c r="R100" s="578">
        <v>9</v>
      </c>
      <c r="S100" s="100">
        <v>44334</v>
      </c>
      <c r="T100" s="112">
        <v>44793</v>
      </c>
      <c r="U100" s="578"/>
      <c r="V100" s="578"/>
      <c r="W100" s="578"/>
      <c r="X100" s="100">
        <v>44726</v>
      </c>
      <c r="Y100" s="564">
        <v>46197444</v>
      </c>
      <c r="Z100" s="24" t="s">
        <v>638</v>
      </c>
      <c r="AA100" s="578"/>
      <c r="AB100" s="578" t="s">
        <v>617</v>
      </c>
      <c r="AC100" s="578"/>
      <c r="AD100" s="54">
        <v>93</v>
      </c>
      <c r="AE100" s="618"/>
      <c r="AF100" s="618"/>
      <c r="AG100" s="618"/>
      <c r="AH100" s="618"/>
      <c r="AI100" s="587" t="s">
        <v>1179</v>
      </c>
      <c r="AJ100" s="578" t="s">
        <v>1179</v>
      </c>
      <c r="AK100" s="40" t="str">
        <f t="shared" si="2"/>
        <v>2021 год</v>
      </c>
      <c r="AL100" s="40" t="str">
        <f t="shared" si="3"/>
        <v>2021 год</v>
      </c>
      <c r="AM100" s="40">
        <f>1</f>
        <v>1</v>
      </c>
    </row>
    <row r="101" spans="1:39" x14ac:dyDescent="0.25">
      <c r="A101" s="587">
        <v>94</v>
      </c>
      <c r="B101" s="621" t="s">
        <v>854</v>
      </c>
      <c r="C101" s="100">
        <v>44270</v>
      </c>
      <c r="D101" s="578" t="s">
        <v>1179</v>
      </c>
      <c r="E101" s="578" t="s">
        <v>734</v>
      </c>
      <c r="F101" s="584" t="s">
        <v>2098</v>
      </c>
      <c r="G101" s="578" t="s">
        <v>880</v>
      </c>
      <c r="H101" s="584" t="s">
        <v>2157</v>
      </c>
      <c r="I101" s="98">
        <v>9031081158</v>
      </c>
      <c r="J101" s="264">
        <v>51904.6</v>
      </c>
      <c r="K101" s="264"/>
      <c r="L101" s="264"/>
      <c r="M101" s="264"/>
      <c r="N101" s="264"/>
      <c r="O101" s="100">
        <v>44287</v>
      </c>
      <c r="P101" s="564">
        <v>400</v>
      </c>
      <c r="Q101" s="564">
        <v>447</v>
      </c>
      <c r="R101" s="578" t="s">
        <v>52</v>
      </c>
      <c r="S101" s="100">
        <v>44240</v>
      </c>
      <c r="T101" s="112">
        <v>45029</v>
      </c>
      <c r="U101" s="578"/>
      <c r="V101" s="578"/>
      <c r="W101" s="578"/>
      <c r="X101" s="100">
        <v>44736</v>
      </c>
      <c r="Y101" s="564">
        <v>87400172</v>
      </c>
      <c r="Z101" s="24" t="s">
        <v>623</v>
      </c>
      <c r="AA101" s="564">
        <v>3732693043</v>
      </c>
      <c r="AB101" s="578" t="s">
        <v>617</v>
      </c>
      <c r="AC101" s="578"/>
      <c r="AD101" s="54">
        <v>92</v>
      </c>
      <c r="AE101" s="618"/>
      <c r="AF101" s="618"/>
      <c r="AG101" s="618"/>
      <c r="AH101" s="618"/>
      <c r="AI101" s="587" t="s">
        <v>1179</v>
      </c>
      <c r="AJ101" s="578" t="s">
        <v>1179</v>
      </c>
      <c r="AK101" s="40" t="str">
        <f t="shared" si="2"/>
        <v>2021 год</v>
      </c>
      <c r="AL101" s="40" t="str">
        <f t="shared" si="3"/>
        <v>2021 год</v>
      </c>
      <c r="AM101" s="40">
        <f>1</f>
        <v>1</v>
      </c>
    </row>
    <row r="102" spans="1:39" x14ac:dyDescent="0.25">
      <c r="A102" s="587">
        <v>95</v>
      </c>
      <c r="B102" s="621" t="s">
        <v>1177</v>
      </c>
      <c r="C102" s="100">
        <v>44250</v>
      </c>
      <c r="D102" s="578" t="s">
        <v>1179</v>
      </c>
      <c r="E102" s="578" t="s">
        <v>716</v>
      </c>
      <c r="F102" s="580">
        <v>960340000376</v>
      </c>
      <c r="G102" s="578" t="s">
        <v>823</v>
      </c>
      <c r="H102" s="584" t="s">
        <v>2141</v>
      </c>
      <c r="I102" s="98">
        <v>3619711613</v>
      </c>
      <c r="J102" s="264">
        <v>21468.49</v>
      </c>
      <c r="K102" s="264"/>
      <c r="L102" s="264"/>
      <c r="M102" s="264"/>
      <c r="N102" s="264"/>
      <c r="O102" s="100">
        <v>44285</v>
      </c>
      <c r="P102" s="564">
        <v>141</v>
      </c>
      <c r="Q102" s="564">
        <v>141</v>
      </c>
      <c r="R102" s="578" t="s">
        <v>47</v>
      </c>
      <c r="S102" s="100">
        <v>44224</v>
      </c>
      <c r="T102" s="112">
        <v>44862</v>
      </c>
      <c r="U102" s="578"/>
      <c r="V102" s="578"/>
      <c r="W102" s="578"/>
      <c r="X102" s="100">
        <v>44846</v>
      </c>
      <c r="Y102" s="564" t="s">
        <v>620</v>
      </c>
      <c r="Z102" s="24" t="s">
        <v>622</v>
      </c>
      <c r="AA102" s="564">
        <v>910647998</v>
      </c>
      <c r="AB102" s="578" t="s">
        <v>621</v>
      </c>
      <c r="AC102" s="578"/>
      <c r="AD102" s="54">
        <v>84</v>
      </c>
      <c r="AE102" s="618"/>
      <c r="AF102" s="618"/>
      <c r="AG102" s="618"/>
      <c r="AH102" s="618"/>
      <c r="AI102" s="587" t="s">
        <v>1179</v>
      </c>
      <c r="AJ102" s="578" t="s">
        <v>1179</v>
      </c>
      <c r="AK102" s="40" t="str">
        <f t="shared" si="2"/>
        <v>2021 год</v>
      </c>
      <c r="AL102" s="40" t="str">
        <f t="shared" si="3"/>
        <v>2021 год</v>
      </c>
      <c r="AM102" s="40">
        <f>1</f>
        <v>1</v>
      </c>
    </row>
    <row r="103" spans="1:39" x14ac:dyDescent="0.25">
      <c r="A103" s="587">
        <v>96</v>
      </c>
      <c r="B103" s="621" t="s">
        <v>855</v>
      </c>
      <c r="C103" s="100">
        <v>44329</v>
      </c>
      <c r="D103" s="578" t="s">
        <v>1179</v>
      </c>
      <c r="E103" s="578" t="s">
        <v>725</v>
      </c>
      <c r="F103" s="584" t="s">
        <v>2098</v>
      </c>
      <c r="G103" s="578" t="s">
        <v>881</v>
      </c>
      <c r="H103" s="584" t="s">
        <v>2158</v>
      </c>
      <c r="I103" s="98">
        <v>10144630208</v>
      </c>
      <c r="J103" s="264">
        <v>44759.28</v>
      </c>
      <c r="K103" s="264"/>
      <c r="L103" s="264"/>
      <c r="M103" s="264"/>
      <c r="N103" s="264"/>
      <c r="O103" s="100">
        <v>44337</v>
      </c>
      <c r="P103" s="564">
        <v>509</v>
      </c>
      <c r="Q103" s="564">
        <v>509</v>
      </c>
      <c r="R103" s="578" t="s">
        <v>221</v>
      </c>
      <c r="S103" s="100" t="s">
        <v>230</v>
      </c>
      <c r="T103" s="564" t="s">
        <v>1318</v>
      </c>
      <c r="U103" s="578"/>
      <c r="V103" s="578"/>
      <c r="W103" s="578"/>
      <c r="X103" s="564" t="s">
        <v>1319</v>
      </c>
      <c r="Y103" s="564">
        <v>92785465</v>
      </c>
      <c r="Z103" s="24" t="s">
        <v>627</v>
      </c>
      <c r="AA103" s="564">
        <v>902792318</v>
      </c>
      <c r="AB103" s="578" t="s">
        <v>607</v>
      </c>
      <c r="AC103" s="578"/>
      <c r="AD103" s="54">
        <v>92</v>
      </c>
      <c r="AE103" s="618"/>
      <c r="AF103" s="618"/>
      <c r="AG103" s="618"/>
      <c r="AH103" s="618"/>
      <c r="AI103" s="587" t="s">
        <v>1179</v>
      </c>
      <c r="AJ103" s="578" t="s">
        <v>1179</v>
      </c>
      <c r="AK103" s="40" t="str">
        <f t="shared" si="2"/>
        <v>2021 год</v>
      </c>
      <c r="AL103" s="40" t="str">
        <f t="shared" si="3"/>
        <v>2021 год</v>
      </c>
      <c r="AM103" s="40">
        <f>1</f>
        <v>1</v>
      </c>
    </row>
    <row r="104" spans="1:39" x14ac:dyDescent="0.25">
      <c r="A104" s="587">
        <v>97</v>
      </c>
      <c r="B104" s="621" t="s">
        <v>856</v>
      </c>
      <c r="C104" s="100">
        <v>44378</v>
      </c>
      <c r="D104" s="578" t="s">
        <v>1179</v>
      </c>
      <c r="E104" s="578" t="s">
        <v>884</v>
      </c>
      <c r="F104" s="584" t="s">
        <v>2111</v>
      </c>
      <c r="G104" s="578" t="s">
        <v>2213</v>
      </c>
      <c r="H104" s="584" t="s">
        <v>2214</v>
      </c>
      <c r="I104" s="98">
        <v>3605450598</v>
      </c>
      <c r="J104" s="264">
        <v>15375.4</v>
      </c>
      <c r="K104" s="264"/>
      <c r="L104" s="264"/>
      <c r="M104" s="264"/>
      <c r="N104" s="264"/>
      <c r="O104" s="100">
        <v>44396</v>
      </c>
      <c r="P104" s="564">
        <v>119</v>
      </c>
      <c r="Q104" s="564">
        <v>119</v>
      </c>
      <c r="R104" s="578">
        <v>9</v>
      </c>
      <c r="S104" s="100">
        <v>44286</v>
      </c>
      <c r="T104" s="564">
        <v>44801</v>
      </c>
      <c r="U104" s="578"/>
      <c r="V104" s="578"/>
      <c r="W104" s="578"/>
      <c r="X104" s="100">
        <v>44798</v>
      </c>
      <c r="Y104" s="564">
        <v>32377526</v>
      </c>
      <c r="Z104" s="24" t="s">
        <v>630</v>
      </c>
      <c r="AA104" s="564"/>
      <c r="AB104" s="578" t="s">
        <v>604</v>
      </c>
      <c r="AC104" s="578"/>
      <c r="AD104" s="54">
        <v>69</v>
      </c>
      <c r="AE104" s="618"/>
      <c r="AF104" s="618"/>
      <c r="AG104" s="618"/>
      <c r="AH104" s="618"/>
      <c r="AI104" s="587" t="s">
        <v>1179</v>
      </c>
      <c r="AJ104" s="578" t="s">
        <v>1179</v>
      </c>
      <c r="AK104" s="40" t="str">
        <f t="shared" si="2"/>
        <v>2021 год</v>
      </c>
      <c r="AL104" s="40" t="str">
        <f t="shared" si="3"/>
        <v>2021 год</v>
      </c>
      <c r="AM104" s="40">
        <f>1</f>
        <v>1</v>
      </c>
    </row>
    <row r="105" spans="1:39" x14ac:dyDescent="0.25">
      <c r="A105" s="587">
        <v>98</v>
      </c>
      <c r="B105" s="621" t="s">
        <v>857</v>
      </c>
      <c r="C105" s="100">
        <v>44210</v>
      </c>
      <c r="D105" s="578" t="s">
        <v>753</v>
      </c>
      <c r="E105" s="54" t="s">
        <v>953</v>
      </c>
      <c r="F105" s="582" t="s">
        <v>2106</v>
      </c>
      <c r="G105" s="578" t="s">
        <v>882</v>
      </c>
      <c r="H105" s="584" t="s">
        <v>2183</v>
      </c>
      <c r="I105" s="98">
        <v>7334042282</v>
      </c>
      <c r="J105" s="264">
        <v>21624.98</v>
      </c>
      <c r="K105" s="264"/>
      <c r="L105" s="264"/>
      <c r="M105" s="264"/>
      <c r="N105" s="264"/>
      <c r="O105" s="100">
        <v>44244</v>
      </c>
      <c r="P105" s="564">
        <v>198</v>
      </c>
      <c r="Q105" s="564">
        <v>198</v>
      </c>
      <c r="R105" s="578">
        <v>12</v>
      </c>
      <c r="S105" s="100">
        <v>44111</v>
      </c>
      <c r="T105" s="112">
        <v>44780</v>
      </c>
      <c r="U105" s="578"/>
      <c r="V105" s="578"/>
      <c r="W105" s="578"/>
      <c r="X105" s="100">
        <v>44776</v>
      </c>
      <c r="Y105" s="564">
        <v>71193946</v>
      </c>
      <c r="Z105" s="24" t="s">
        <v>616</v>
      </c>
      <c r="AA105" s="564">
        <v>2641969715</v>
      </c>
      <c r="AB105" s="578" t="s">
        <v>604</v>
      </c>
      <c r="AC105" s="578"/>
      <c r="AD105" s="54">
        <v>98</v>
      </c>
      <c r="AE105" s="618"/>
      <c r="AF105" s="618"/>
      <c r="AG105" s="618"/>
      <c r="AH105" s="618"/>
      <c r="AI105" s="587" t="s">
        <v>23</v>
      </c>
      <c r="AJ105" s="578" t="s">
        <v>23</v>
      </c>
      <c r="AK105" s="40" t="str">
        <f t="shared" si="2"/>
        <v>2021 год</v>
      </c>
      <c r="AL105" s="40" t="str">
        <f t="shared" si="3"/>
        <v>2021 год</v>
      </c>
      <c r="AM105" s="40">
        <f>1</f>
        <v>1</v>
      </c>
    </row>
    <row r="106" spans="1:39" x14ac:dyDescent="0.25">
      <c r="A106" s="587">
        <v>99</v>
      </c>
      <c r="B106" s="621" t="s">
        <v>858</v>
      </c>
      <c r="C106" s="100">
        <v>44308</v>
      </c>
      <c r="D106" s="578" t="s">
        <v>753</v>
      </c>
      <c r="E106" s="578" t="s">
        <v>716</v>
      </c>
      <c r="F106" s="580">
        <v>960340000376</v>
      </c>
      <c r="G106" s="578" t="s">
        <v>782</v>
      </c>
      <c r="H106" s="584" t="s">
        <v>2142</v>
      </c>
      <c r="I106" s="98">
        <v>3965211099</v>
      </c>
      <c r="J106" s="264">
        <v>18625.47</v>
      </c>
      <c r="K106" s="264"/>
      <c r="L106" s="264"/>
      <c r="M106" s="264"/>
      <c r="N106" s="264"/>
      <c r="O106" s="100">
        <v>44333</v>
      </c>
      <c r="P106" s="564">
        <v>252</v>
      </c>
      <c r="Q106" s="564">
        <v>252</v>
      </c>
      <c r="R106" s="578">
        <v>15</v>
      </c>
      <c r="S106" s="100">
        <v>44238</v>
      </c>
      <c r="T106" s="112">
        <v>44784</v>
      </c>
      <c r="U106" s="578"/>
      <c r="V106" s="578"/>
      <c r="W106" s="578"/>
      <c r="X106" s="100">
        <v>44778</v>
      </c>
      <c r="Y106" s="564">
        <v>38532731</v>
      </c>
      <c r="Z106" s="24" t="s">
        <v>625</v>
      </c>
      <c r="AA106" s="564">
        <v>1760719780</v>
      </c>
      <c r="AB106" s="578" t="s">
        <v>604</v>
      </c>
      <c r="AC106" s="578"/>
      <c r="AD106" s="54">
        <v>84</v>
      </c>
      <c r="AE106" s="618"/>
      <c r="AF106" s="618"/>
      <c r="AG106" s="618"/>
      <c r="AH106" s="618"/>
      <c r="AI106" s="587" t="s">
        <v>23</v>
      </c>
      <c r="AJ106" s="578" t="s">
        <v>23</v>
      </c>
      <c r="AK106" s="40" t="str">
        <f t="shared" si="2"/>
        <v>2021 год</v>
      </c>
      <c r="AL106" s="40" t="str">
        <f t="shared" si="3"/>
        <v>2021 год</v>
      </c>
      <c r="AM106" s="40">
        <f>1</f>
        <v>1</v>
      </c>
    </row>
    <row r="107" spans="1:39" x14ac:dyDescent="0.25">
      <c r="A107" s="587">
        <v>100</v>
      </c>
      <c r="B107" s="621" t="s">
        <v>859</v>
      </c>
      <c r="C107" s="100">
        <v>44427</v>
      </c>
      <c r="D107" s="578" t="s">
        <v>1179</v>
      </c>
      <c r="E107" s="578" t="s">
        <v>695</v>
      </c>
      <c r="F107" s="580">
        <v>960340000376</v>
      </c>
      <c r="G107" s="578" t="s">
        <v>883</v>
      </c>
      <c r="H107" s="584" t="s">
        <v>1620</v>
      </c>
      <c r="I107" s="98">
        <v>2587390887</v>
      </c>
      <c r="J107" s="264">
        <v>17638.599999999999</v>
      </c>
      <c r="K107" s="264"/>
      <c r="L107" s="264"/>
      <c r="M107" s="264"/>
      <c r="N107" s="264"/>
      <c r="O107" s="100">
        <v>44462</v>
      </c>
      <c r="P107" s="564">
        <v>305</v>
      </c>
      <c r="Q107" s="564">
        <v>305</v>
      </c>
      <c r="R107" s="578">
        <v>16.190000000000001</v>
      </c>
      <c r="S107" s="100" t="s">
        <v>459</v>
      </c>
      <c r="T107" s="112">
        <v>44850</v>
      </c>
      <c r="U107" s="578"/>
      <c r="V107" s="578"/>
      <c r="W107" s="578"/>
      <c r="X107" s="100">
        <v>44763</v>
      </c>
      <c r="Y107" s="564" t="s">
        <v>640</v>
      </c>
      <c r="Z107" s="24" t="s">
        <v>641</v>
      </c>
      <c r="AA107" s="564">
        <v>548126503</v>
      </c>
      <c r="AB107" s="578" t="s">
        <v>596</v>
      </c>
      <c r="AC107" s="578"/>
      <c r="AD107" s="54">
        <v>74</v>
      </c>
      <c r="AE107" s="618"/>
      <c r="AF107" s="618"/>
      <c r="AG107" s="618"/>
      <c r="AH107" s="618"/>
      <c r="AI107" s="587" t="s">
        <v>1179</v>
      </c>
      <c r="AJ107" s="578" t="s">
        <v>1179</v>
      </c>
      <c r="AK107" s="40" t="str">
        <f t="shared" si="2"/>
        <v>2021 год</v>
      </c>
      <c r="AL107" s="40" t="str">
        <f t="shared" si="3"/>
        <v>2021 год</v>
      </c>
      <c r="AM107" s="40">
        <f>1</f>
        <v>1</v>
      </c>
    </row>
    <row r="108" spans="1:39" ht="31.5" x14ac:dyDescent="0.25">
      <c r="A108" s="575" t="s">
        <v>28</v>
      </c>
      <c r="B108" s="621" t="s">
        <v>1476</v>
      </c>
      <c r="C108" s="100">
        <v>44726</v>
      </c>
      <c r="D108" s="578" t="s">
        <v>1179</v>
      </c>
      <c r="E108" s="578" t="s">
        <v>695</v>
      </c>
      <c r="F108" s="580">
        <v>960340000376</v>
      </c>
      <c r="G108" s="578" t="s">
        <v>883</v>
      </c>
      <c r="H108" s="584" t="s">
        <v>1620</v>
      </c>
      <c r="I108" s="98">
        <v>1691059141</v>
      </c>
      <c r="J108" s="264">
        <v>0</v>
      </c>
      <c r="K108" s="264"/>
      <c r="L108" s="264"/>
      <c r="M108" s="264"/>
      <c r="N108" s="264"/>
      <c r="O108" s="100">
        <v>44740</v>
      </c>
      <c r="P108" s="564">
        <v>0</v>
      </c>
      <c r="Q108" s="564">
        <v>0</v>
      </c>
      <c r="R108" s="578" t="s">
        <v>28</v>
      </c>
      <c r="S108" s="100">
        <v>44271</v>
      </c>
      <c r="T108" s="112">
        <v>44820</v>
      </c>
      <c r="U108" s="578"/>
      <c r="V108" s="578"/>
      <c r="W108" s="578"/>
      <c r="X108" s="100">
        <v>44763</v>
      </c>
      <c r="Y108" s="564">
        <v>16910591</v>
      </c>
      <c r="Z108" s="24" t="s">
        <v>613</v>
      </c>
      <c r="AA108" s="564"/>
      <c r="AB108" s="578" t="s">
        <v>596</v>
      </c>
      <c r="AC108" s="578"/>
      <c r="AD108" s="54">
        <v>74</v>
      </c>
      <c r="AE108" s="618"/>
      <c r="AF108" s="618"/>
      <c r="AG108" s="618"/>
      <c r="AH108" s="618"/>
      <c r="AI108" s="587"/>
      <c r="AJ108" s="578" t="s">
        <v>1179</v>
      </c>
      <c r="AK108" s="40"/>
      <c r="AL108" s="40" t="str">
        <f t="shared" si="3"/>
        <v>2022 год</v>
      </c>
      <c r="AM108" s="40"/>
    </row>
    <row r="109" spans="1:39" x14ac:dyDescent="0.25">
      <c r="A109" s="587">
        <v>101</v>
      </c>
      <c r="B109" s="621" t="s">
        <v>754</v>
      </c>
      <c r="C109" s="100">
        <v>44616</v>
      </c>
      <c r="D109" s="578" t="s">
        <v>2070</v>
      </c>
      <c r="E109" s="578" t="s">
        <v>758</v>
      </c>
      <c r="F109" s="582" t="s">
        <v>1645</v>
      </c>
      <c r="G109" s="578" t="s">
        <v>756</v>
      </c>
      <c r="H109" s="584" t="s">
        <v>2151</v>
      </c>
      <c r="I109" s="98">
        <v>1748059801</v>
      </c>
      <c r="J109" s="264">
        <v>12721.2</v>
      </c>
      <c r="K109" s="264"/>
      <c r="L109" s="264"/>
      <c r="M109" s="264"/>
      <c r="N109" s="264"/>
      <c r="O109" s="100">
        <v>44635</v>
      </c>
      <c r="P109" s="578">
        <v>190</v>
      </c>
      <c r="Q109" s="578">
        <v>190</v>
      </c>
      <c r="R109" s="578">
        <v>5</v>
      </c>
      <c r="S109" s="100">
        <v>44515</v>
      </c>
      <c r="T109" s="112">
        <v>44696</v>
      </c>
      <c r="U109" s="578"/>
      <c r="V109" s="578"/>
      <c r="W109" s="578"/>
      <c r="X109" s="100">
        <v>44656</v>
      </c>
      <c r="Y109" s="564">
        <v>10854545</v>
      </c>
      <c r="Z109" s="58" t="s">
        <v>600</v>
      </c>
      <c r="AA109" s="112"/>
      <c r="AB109" s="112" t="s">
        <v>599</v>
      </c>
      <c r="AC109" s="112"/>
      <c r="AD109" s="54">
        <v>67</v>
      </c>
      <c r="AE109" s="618"/>
      <c r="AF109" s="618"/>
      <c r="AG109" s="618"/>
      <c r="AH109" s="618"/>
      <c r="AI109" s="627" t="s">
        <v>1835</v>
      </c>
      <c r="AJ109" s="625" t="s">
        <v>1835</v>
      </c>
      <c r="AK109" s="40" t="str">
        <f t="shared" si="2"/>
        <v>2022 год</v>
      </c>
      <c r="AL109" s="40" t="str">
        <f t="shared" si="3"/>
        <v>2022 год</v>
      </c>
      <c r="AM109" s="40">
        <f>1</f>
        <v>1</v>
      </c>
    </row>
    <row r="110" spans="1:39" x14ac:dyDescent="0.25">
      <c r="A110" s="587">
        <v>102</v>
      </c>
      <c r="B110" s="621" t="s">
        <v>761</v>
      </c>
      <c r="C110" s="100">
        <v>44553</v>
      </c>
      <c r="D110" s="578" t="s">
        <v>1179</v>
      </c>
      <c r="E110" s="578" t="s">
        <v>682</v>
      </c>
      <c r="F110" s="584" t="s">
        <v>2091</v>
      </c>
      <c r="G110" s="578" t="s">
        <v>683</v>
      </c>
      <c r="H110" s="584" t="s">
        <v>2162</v>
      </c>
      <c r="I110" s="98">
        <v>4238097956</v>
      </c>
      <c r="J110" s="264">
        <v>15006.8</v>
      </c>
      <c r="K110" s="264"/>
      <c r="L110" s="264"/>
      <c r="M110" s="264"/>
      <c r="N110" s="264"/>
      <c r="O110" s="100">
        <v>44586</v>
      </c>
      <c r="P110" s="578">
        <v>200</v>
      </c>
      <c r="Q110" s="578">
        <v>200</v>
      </c>
      <c r="R110" s="578">
        <v>9</v>
      </c>
      <c r="S110" s="100">
        <v>44385</v>
      </c>
      <c r="T110" s="112">
        <v>44856</v>
      </c>
      <c r="U110" s="578"/>
      <c r="V110" s="578"/>
      <c r="W110" s="578"/>
      <c r="X110" s="100">
        <v>44785</v>
      </c>
      <c r="Y110" s="564">
        <v>41688998</v>
      </c>
      <c r="Z110" s="58" t="s">
        <v>597</v>
      </c>
      <c r="AA110" s="112"/>
      <c r="AB110" s="112" t="s">
        <v>596</v>
      </c>
      <c r="AC110" s="112"/>
      <c r="AD110" s="54">
        <v>70</v>
      </c>
      <c r="AE110" s="618"/>
      <c r="AF110" s="618"/>
      <c r="AG110" s="618"/>
      <c r="AH110" s="618"/>
      <c r="AI110" s="587" t="s">
        <v>1179</v>
      </c>
      <c r="AJ110" s="578" t="s">
        <v>1179</v>
      </c>
      <c r="AK110" s="40" t="str">
        <f t="shared" si="2"/>
        <v>2022 год</v>
      </c>
      <c r="AL110" s="40" t="str">
        <f t="shared" si="3"/>
        <v>2022 год</v>
      </c>
      <c r="AM110" s="40">
        <f>1</f>
        <v>1</v>
      </c>
    </row>
    <row r="111" spans="1:39" ht="31.5" x14ac:dyDescent="0.25">
      <c r="A111" s="587">
        <v>103</v>
      </c>
      <c r="B111" s="621" t="s">
        <v>796</v>
      </c>
      <c r="C111" s="100">
        <v>44287</v>
      </c>
      <c r="D111" s="578" t="s">
        <v>753</v>
      </c>
      <c r="E111" s="578" t="s">
        <v>715</v>
      </c>
      <c r="F111" s="584" t="s">
        <v>1628</v>
      </c>
      <c r="G111" s="578" t="s">
        <v>817</v>
      </c>
      <c r="H111" s="582" t="s">
        <v>1628</v>
      </c>
      <c r="I111" s="98">
        <v>6168900838</v>
      </c>
      <c r="J111" s="264">
        <v>28382.78</v>
      </c>
      <c r="K111" s="264"/>
      <c r="L111" s="264"/>
      <c r="M111" s="264"/>
      <c r="N111" s="264"/>
      <c r="O111" s="100">
        <v>44300</v>
      </c>
      <c r="P111" s="578">
        <v>476</v>
      </c>
      <c r="Q111" s="578">
        <v>476</v>
      </c>
      <c r="R111" s="578">
        <v>9</v>
      </c>
      <c r="S111" s="100">
        <v>44218</v>
      </c>
      <c r="T111" s="112">
        <v>44856</v>
      </c>
      <c r="U111" s="578"/>
      <c r="V111" s="578"/>
      <c r="W111" s="578"/>
      <c r="X111" s="100">
        <v>44799</v>
      </c>
      <c r="Y111" s="564">
        <v>61689008</v>
      </c>
      <c r="Z111" s="58" t="s">
        <v>2326</v>
      </c>
      <c r="AA111" s="112"/>
      <c r="AB111" s="112" t="s">
        <v>594</v>
      </c>
      <c r="AC111" s="112"/>
      <c r="AD111" s="54">
        <v>68</v>
      </c>
      <c r="AE111" s="618"/>
      <c r="AF111" s="618"/>
      <c r="AG111" s="618"/>
      <c r="AH111" s="618"/>
      <c r="AI111" s="587" t="s">
        <v>23</v>
      </c>
      <c r="AJ111" s="578" t="s">
        <v>23</v>
      </c>
      <c r="AK111" s="40" t="str">
        <f t="shared" si="2"/>
        <v>2021 год</v>
      </c>
      <c r="AL111" s="40" t="str">
        <f t="shared" si="3"/>
        <v>2021 год</v>
      </c>
      <c r="AM111" s="40">
        <f>1</f>
        <v>1</v>
      </c>
    </row>
    <row r="112" spans="1:39" x14ac:dyDescent="0.25">
      <c r="A112" s="587">
        <v>104</v>
      </c>
      <c r="B112" s="621" t="s">
        <v>755</v>
      </c>
      <c r="C112" s="100">
        <v>44561</v>
      </c>
      <c r="D112" s="578" t="s">
        <v>753</v>
      </c>
      <c r="E112" s="578" t="s">
        <v>685</v>
      </c>
      <c r="F112" s="584" t="s">
        <v>1955</v>
      </c>
      <c r="G112" s="578" t="s">
        <v>757</v>
      </c>
      <c r="H112" s="584" t="s">
        <v>2119</v>
      </c>
      <c r="I112" s="98">
        <v>12284519587</v>
      </c>
      <c r="J112" s="264">
        <v>148546.6</v>
      </c>
      <c r="K112" s="264"/>
      <c r="L112" s="264"/>
      <c r="M112" s="264"/>
      <c r="N112" s="264"/>
      <c r="O112" s="100">
        <v>44585</v>
      </c>
      <c r="P112" s="578">
        <v>2142</v>
      </c>
      <c r="Q112" s="578">
        <v>2140</v>
      </c>
      <c r="R112" s="578">
        <v>9</v>
      </c>
      <c r="S112" s="100">
        <v>44555</v>
      </c>
      <c r="T112" s="112">
        <v>44982</v>
      </c>
      <c r="U112" s="578"/>
      <c r="V112" s="578"/>
      <c r="W112" s="578"/>
      <c r="X112" s="100">
        <v>44739</v>
      </c>
      <c r="Y112" s="564">
        <v>41897944</v>
      </c>
      <c r="Z112" s="58" t="s">
        <v>602</v>
      </c>
      <c r="AA112" s="112"/>
      <c r="AB112" s="112"/>
      <c r="AC112" s="112"/>
      <c r="AD112" s="54">
        <v>68</v>
      </c>
      <c r="AE112" s="618"/>
      <c r="AF112" s="618"/>
      <c r="AG112" s="618"/>
      <c r="AH112" s="618"/>
      <c r="AI112" s="587" t="s">
        <v>23</v>
      </c>
      <c r="AJ112" s="578" t="s">
        <v>23</v>
      </c>
      <c r="AK112" s="40" t="str">
        <f t="shared" si="2"/>
        <v>2022 год</v>
      </c>
      <c r="AL112" s="40" t="str">
        <f t="shared" si="3"/>
        <v>2022 год</v>
      </c>
      <c r="AM112" s="40">
        <f>1</f>
        <v>1</v>
      </c>
    </row>
    <row r="113" spans="1:39" ht="31.5" x14ac:dyDescent="0.25">
      <c r="A113" s="587">
        <v>105</v>
      </c>
      <c r="B113" s="621" t="s">
        <v>764</v>
      </c>
      <c r="C113" s="100">
        <v>44581</v>
      </c>
      <c r="D113" s="578" t="s">
        <v>753</v>
      </c>
      <c r="E113" s="578" t="s">
        <v>685</v>
      </c>
      <c r="F113" s="584" t="s">
        <v>1955</v>
      </c>
      <c r="G113" s="578" t="s">
        <v>688</v>
      </c>
      <c r="H113" s="582" t="s">
        <v>2187</v>
      </c>
      <c r="I113" s="98">
        <v>2000270939</v>
      </c>
      <c r="J113" s="264">
        <v>11172.5</v>
      </c>
      <c r="K113" s="264"/>
      <c r="L113" s="264"/>
      <c r="M113" s="264"/>
      <c r="N113" s="264"/>
      <c r="O113" s="100">
        <v>44601</v>
      </c>
      <c r="P113" s="578">
        <v>144</v>
      </c>
      <c r="Q113" s="578">
        <v>130</v>
      </c>
      <c r="R113" s="578">
        <v>9</v>
      </c>
      <c r="S113" s="100">
        <v>44455</v>
      </c>
      <c r="T113" s="112">
        <v>45001</v>
      </c>
      <c r="U113" s="578"/>
      <c r="V113" s="578"/>
      <c r="W113" s="578"/>
      <c r="X113" s="100">
        <v>44719</v>
      </c>
      <c r="Y113" s="564">
        <v>20002709</v>
      </c>
      <c r="Z113" s="58" t="s">
        <v>1108</v>
      </c>
      <c r="AA113" s="112"/>
      <c r="AB113" s="112"/>
      <c r="AC113" s="112"/>
      <c r="AD113" s="54">
        <v>68</v>
      </c>
      <c r="AE113" s="618"/>
      <c r="AF113" s="618"/>
      <c r="AG113" s="618"/>
      <c r="AH113" s="618"/>
      <c r="AI113" s="587" t="s">
        <v>23</v>
      </c>
      <c r="AJ113" s="578" t="s">
        <v>23</v>
      </c>
      <c r="AK113" s="40" t="str">
        <f t="shared" si="2"/>
        <v>2022 год</v>
      </c>
      <c r="AL113" s="40" t="str">
        <f t="shared" si="3"/>
        <v>2022 год</v>
      </c>
      <c r="AM113" s="40">
        <f>1</f>
        <v>1</v>
      </c>
    </row>
    <row r="114" spans="1:39" x14ac:dyDescent="0.25">
      <c r="A114" s="587">
        <v>106</v>
      </c>
      <c r="B114" s="621" t="s">
        <v>1185</v>
      </c>
      <c r="C114" s="100">
        <v>44507</v>
      </c>
      <c r="D114" s="578" t="s">
        <v>1179</v>
      </c>
      <c r="E114" s="578" t="s">
        <v>746</v>
      </c>
      <c r="F114" s="584" t="s">
        <v>1953</v>
      </c>
      <c r="G114" s="578" t="s">
        <v>747</v>
      </c>
      <c r="H114" s="584" t="s">
        <v>2144</v>
      </c>
      <c r="I114" s="98">
        <v>6873006319</v>
      </c>
      <c r="J114" s="264">
        <v>29299.19</v>
      </c>
      <c r="K114" s="264"/>
      <c r="L114" s="264"/>
      <c r="M114" s="264"/>
      <c r="N114" s="264"/>
      <c r="O114" s="100">
        <v>44553</v>
      </c>
      <c r="P114" s="578">
        <v>300</v>
      </c>
      <c r="Q114" s="578">
        <v>297</v>
      </c>
      <c r="R114" s="578" t="s">
        <v>371</v>
      </c>
      <c r="S114" s="100">
        <v>44491</v>
      </c>
      <c r="T114" s="112">
        <v>44957</v>
      </c>
      <c r="U114" s="578"/>
      <c r="V114" s="578"/>
      <c r="W114" s="578"/>
      <c r="X114" s="100">
        <v>44785</v>
      </c>
      <c r="Y114" s="564">
        <v>58289835</v>
      </c>
      <c r="Z114" s="58" t="s">
        <v>654</v>
      </c>
      <c r="AA114" s="112"/>
      <c r="AB114" s="112" t="s">
        <v>669</v>
      </c>
      <c r="AC114" s="112"/>
      <c r="AD114" s="54">
        <v>89</v>
      </c>
      <c r="AE114" s="618"/>
      <c r="AF114" s="618"/>
      <c r="AG114" s="618"/>
      <c r="AH114" s="618"/>
      <c r="AI114" s="587" t="s">
        <v>1179</v>
      </c>
      <c r="AJ114" s="578" t="s">
        <v>1179</v>
      </c>
      <c r="AK114" s="40" t="str">
        <f t="shared" si="2"/>
        <v>2021 год</v>
      </c>
      <c r="AL114" s="40" t="str">
        <f t="shared" si="3"/>
        <v>2021 год</v>
      </c>
      <c r="AM114" s="40">
        <f>1</f>
        <v>1</v>
      </c>
    </row>
    <row r="115" spans="1:39" x14ac:dyDescent="0.25">
      <c r="A115" s="587">
        <v>107</v>
      </c>
      <c r="B115" s="621" t="s">
        <v>1487</v>
      </c>
      <c r="C115" s="100">
        <v>44375</v>
      </c>
      <c r="D115" s="578" t="s">
        <v>753</v>
      </c>
      <c r="E115" s="578" t="s">
        <v>705</v>
      </c>
      <c r="F115" s="584" t="s">
        <v>2097</v>
      </c>
      <c r="G115" s="578" t="s">
        <v>819</v>
      </c>
      <c r="H115" s="584" t="s">
        <v>2143</v>
      </c>
      <c r="I115" s="98">
        <v>2785752420</v>
      </c>
      <c r="J115" s="264">
        <v>12354.79</v>
      </c>
      <c r="K115" s="264"/>
      <c r="L115" s="264"/>
      <c r="M115" s="264"/>
      <c r="N115" s="264"/>
      <c r="O115" s="100">
        <v>44389</v>
      </c>
      <c r="P115" s="578">
        <v>143</v>
      </c>
      <c r="Q115" s="578">
        <v>143</v>
      </c>
      <c r="R115" s="578">
        <v>9</v>
      </c>
      <c r="S115" s="100">
        <v>44348</v>
      </c>
      <c r="T115" s="112">
        <v>44635</v>
      </c>
      <c r="U115" s="112">
        <v>44727</v>
      </c>
      <c r="V115" s="112">
        <v>44819</v>
      </c>
      <c r="W115" s="112">
        <v>44910</v>
      </c>
      <c r="X115" s="112">
        <v>44767</v>
      </c>
      <c r="Y115" s="564">
        <v>27705024</v>
      </c>
      <c r="Z115" s="58" t="s">
        <v>655</v>
      </c>
      <c r="AA115" s="112"/>
      <c r="AB115" s="112" t="s">
        <v>669</v>
      </c>
      <c r="AC115" s="112"/>
      <c r="AD115" s="54">
        <v>87</v>
      </c>
      <c r="AE115" s="618"/>
      <c r="AF115" s="618"/>
      <c r="AG115" s="618"/>
      <c r="AH115" s="618"/>
      <c r="AI115" s="587" t="s">
        <v>23</v>
      </c>
      <c r="AJ115" s="578" t="s">
        <v>23</v>
      </c>
      <c r="AK115" s="40" t="str">
        <f t="shared" si="2"/>
        <v>2021 год</v>
      </c>
      <c r="AL115" s="40" t="str">
        <f t="shared" si="3"/>
        <v>2021 год</v>
      </c>
      <c r="AM115" s="40">
        <f>1</f>
        <v>1</v>
      </c>
    </row>
    <row r="116" spans="1:39" x14ac:dyDescent="0.25">
      <c r="A116" s="587">
        <v>108</v>
      </c>
      <c r="B116" s="621" t="s">
        <v>803</v>
      </c>
      <c r="C116" s="100">
        <v>44391</v>
      </c>
      <c r="D116" s="578" t="s">
        <v>1179</v>
      </c>
      <c r="E116" s="578" t="s">
        <v>727</v>
      </c>
      <c r="F116" s="584" t="s">
        <v>2109</v>
      </c>
      <c r="G116" s="578" t="s">
        <v>728</v>
      </c>
      <c r="H116" s="584" t="s">
        <v>2168</v>
      </c>
      <c r="I116" s="98">
        <v>3516075103</v>
      </c>
      <c r="J116" s="264">
        <v>14302.4</v>
      </c>
      <c r="K116" s="264"/>
      <c r="L116" s="264"/>
      <c r="M116" s="264"/>
      <c r="N116" s="264"/>
      <c r="O116" s="100">
        <v>44420</v>
      </c>
      <c r="P116" s="578">
        <v>208</v>
      </c>
      <c r="Q116" s="578">
        <v>210</v>
      </c>
      <c r="R116" s="578">
        <v>7</v>
      </c>
      <c r="S116" s="100">
        <v>44175</v>
      </c>
      <c r="T116" s="112">
        <v>44691</v>
      </c>
      <c r="U116" s="112">
        <v>44783</v>
      </c>
      <c r="V116" s="112">
        <v>44875</v>
      </c>
      <c r="W116" s="112"/>
      <c r="X116" s="112">
        <v>44873</v>
      </c>
      <c r="Y116" s="564">
        <v>30669709</v>
      </c>
      <c r="Z116" s="58" t="s">
        <v>632</v>
      </c>
      <c r="AA116" s="112"/>
      <c r="AB116" s="112"/>
      <c r="AC116" s="112"/>
      <c r="AD116" s="54">
        <v>66</v>
      </c>
      <c r="AE116" s="618"/>
      <c r="AF116" s="618"/>
      <c r="AG116" s="618"/>
      <c r="AH116" s="618"/>
      <c r="AI116" s="587" t="s">
        <v>1179</v>
      </c>
      <c r="AJ116" s="578" t="s">
        <v>1179</v>
      </c>
      <c r="AK116" s="40" t="str">
        <f t="shared" si="2"/>
        <v>2021 год</v>
      </c>
      <c r="AL116" s="40" t="str">
        <f t="shared" si="3"/>
        <v>2021 год</v>
      </c>
      <c r="AM116" s="40">
        <f>1</f>
        <v>1</v>
      </c>
    </row>
    <row r="117" spans="1:39" x14ac:dyDescent="0.25">
      <c r="A117" s="587">
        <v>109</v>
      </c>
      <c r="B117" s="621" t="s">
        <v>1186</v>
      </c>
      <c r="C117" s="100">
        <v>44481</v>
      </c>
      <c r="D117" s="578" t="s">
        <v>1179</v>
      </c>
      <c r="E117" s="578" t="s">
        <v>695</v>
      </c>
      <c r="F117" s="580">
        <v>960340000376</v>
      </c>
      <c r="G117" s="578" t="s">
        <v>824</v>
      </c>
      <c r="H117" s="584" t="s">
        <v>2166</v>
      </c>
      <c r="I117" s="98">
        <v>2289816924</v>
      </c>
      <c r="J117" s="264">
        <v>14271</v>
      </c>
      <c r="K117" s="264"/>
      <c r="L117" s="264"/>
      <c r="M117" s="264"/>
      <c r="N117" s="264"/>
      <c r="O117" s="100">
        <v>44495</v>
      </c>
      <c r="P117" s="578">
        <v>119</v>
      </c>
      <c r="Q117" s="578">
        <v>119</v>
      </c>
      <c r="R117" s="578" t="s">
        <v>310</v>
      </c>
      <c r="S117" s="100">
        <v>44287</v>
      </c>
      <c r="T117" s="112">
        <v>44775</v>
      </c>
      <c r="U117" s="112">
        <v>44867</v>
      </c>
      <c r="V117" s="112"/>
      <c r="W117" s="112"/>
      <c r="X117" s="112">
        <v>44852</v>
      </c>
      <c r="Y117" s="564">
        <v>48449335</v>
      </c>
      <c r="Z117" s="58" t="s">
        <v>645</v>
      </c>
      <c r="AA117" s="564">
        <v>3279180677</v>
      </c>
      <c r="AB117" s="112" t="s">
        <v>607</v>
      </c>
      <c r="AC117" s="112"/>
      <c r="AD117" s="54">
        <v>74</v>
      </c>
      <c r="AE117" s="618"/>
      <c r="AF117" s="618"/>
      <c r="AG117" s="618"/>
      <c r="AH117" s="618"/>
      <c r="AI117" s="587" t="s">
        <v>1179</v>
      </c>
      <c r="AJ117" s="578" t="s">
        <v>1179</v>
      </c>
      <c r="AK117" s="40" t="str">
        <f t="shared" si="2"/>
        <v>2021 год</v>
      </c>
      <c r="AL117" s="40" t="str">
        <f t="shared" si="3"/>
        <v>2021 год</v>
      </c>
      <c r="AM117" s="40">
        <f>1</f>
        <v>1</v>
      </c>
    </row>
    <row r="118" spans="1:39" x14ac:dyDescent="0.25">
      <c r="A118" s="587" t="s">
        <v>28</v>
      </c>
      <c r="B118" s="621" t="s">
        <v>1475</v>
      </c>
      <c r="C118" s="100">
        <v>44481</v>
      </c>
      <c r="D118" s="578" t="s">
        <v>1179</v>
      </c>
      <c r="E118" s="54" t="s">
        <v>695</v>
      </c>
      <c r="F118" s="580">
        <v>960340000376</v>
      </c>
      <c r="G118" s="54" t="s">
        <v>824</v>
      </c>
      <c r="H118" s="584" t="s">
        <v>2166</v>
      </c>
      <c r="I118" s="98">
        <v>3110833000</v>
      </c>
      <c r="J118" s="264">
        <v>15260</v>
      </c>
      <c r="K118" s="264"/>
      <c r="L118" s="264"/>
      <c r="M118" s="264"/>
      <c r="N118" s="264"/>
      <c r="O118" s="100">
        <v>44495</v>
      </c>
      <c r="P118" s="564">
        <v>112</v>
      </c>
      <c r="Q118" s="564">
        <v>112</v>
      </c>
      <c r="R118" s="578"/>
      <c r="S118" s="100">
        <v>44287</v>
      </c>
      <c r="T118" s="112">
        <v>44866</v>
      </c>
      <c r="U118" s="100"/>
      <c r="V118" s="578"/>
      <c r="W118" s="578"/>
      <c r="X118" s="100">
        <v>44817</v>
      </c>
      <c r="Y118" s="564"/>
      <c r="Z118" s="35"/>
      <c r="AA118" s="100"/>
      <c r="AB118" s="100"/>
      <c r="AC118" s="100"/>
      <c r="AD118" s="54">
        <v>74</v>
      </c>
      <c r="AE118" s="618"/>
      <c r="AF118" s="618"/>
      <c r="AG118" s="618"/>
      <c r="AH118" s="618"/>
      <c r="AI118" s="587"/>
      <c r="AJ118" s="578" t="s">
        <v>1179</v>
      </c>
      <c r="AK118" s="40"/>
      <c r="AL118" s="40" t="str">
        <f t="shared" si="3"/>
        <v>2021 год</v>
      </c>
      <c r="AM118" s="40"/>
    </row>
    <row r="119" spans="1:39" x14ac:dyDescent="0.25">
      <c r="A119" s="587">
        <v>110</v>
      </c>
      <c r="B119" s="621" t="s">
        <v>805</v>
      </c>
      <c r="C119" s="100">
        <v>44418</v>
      </c>
      <c r="D119" s="578" t="s">
        <v>1179</v>
      </c>
      <c r="E119" s="578" t="s">
        <v>948</v>
      </c>
      <c r="F119" s="584" t="s">
        <v>2103</v>
      </c>
      <c r="G119" s="578" t="s">
        <v>820</v>
      </c>
      <c r="H119" s="584" t="s">
        <v>2125</v>
      </c>
      <c r="I119" s="98">
        <v>6105003456</v>
      </c>
      <c r="J119" s="264">
        <v>34924.6</v>
      </c>
      <c r="K119" s="264"/>
      <c r="L119" s="264"/>
      <c r="M119" s="264"/>
      <c r="N119" s="264"/>
      <c r="O119" s="100">
        <v>44441</v>
      </c>
      <c r="P119" s="578">
        <v>381</v>
      </c>
      <c r="Q119" s="578">
        <v>381</v>
      </c>
      <c r="R119" s="578" t="s">
        <v>274</v>
      </c>
      <c r="S119" s="100">
        <v>44389</v>
      </c>
      <c r="T119" s="112">
        <v>45058</v>
      </c>
      <c r="U119" s="112"/>
      <c r="V119" s="112"/>
      <c r="W119" s="112"/>
      <c r="X119" s="112">
        <v>44873</v>
      </c>
      <c r="Y119" s="564">
        <v>52191380</v>
      </c>
      <c r="Z119" s="58" t="s">
        <v>635</v>
      </c>
      <c r="AA119" s="564"/>
      <c r="AB119" s="112" t="s">
        <v>607</v>
      </c>
      <c r="AC119" s="112"/>
      <c r="AD119" s="54">
        <v>80</v>
      </c>
      <c r="AE119" s="618"/>
      <c r="AF119" s="618"/>
      <c r="AG119" s="618"/>
      <c r="AH119" s="618"/>
      <c r="AI119" s="587" t="s">
        <v>1179</v>
      </c>
      <c r="AJ119" s="578" t="s">
        <v>1179</v>
      </c>
      <c r="AK119" s="40" t="str">
        <f t="shared" si="2"/>
        <v>2021 год</v>
      </c>
      <c r="AL119" s="40" t="str">
        <f t="shared" si="3"/>
        <v>2021 год</v>
      </c>
      <c r="AM119" s="40">
        <f>1</f>
        <v>1</v>
      </c>
    </row>
    <row r="120" spans="1:39" x14ac:dyDescent="0.25">
      <c r="A120" s="587">
        <v>111</v>
      </c>
      <c r="B120" s="621" t="s">
        <v>815</v>
      </c>
      <c r="C120" s="100">
        <v>44448</v>
      </c>
      <c r="D120" s="578" t="s">
        <v>1179</v>
      </c>
      <c r="E120" s="578" t="s">
        <v>686</v>
      </c>
      <c r="F120" s="584" t="s">
        <v>2110</v>
      </c>
      <c r="G120" s="578" t="s">
        <v>733</v>
      </c>
      <c r="H120" s="584" t="s">
        <v>2197</v>
      </c>
      <c r="I120" s="98">
        <v>6273402523</v>
      </c>
      <c r="J120" s="264">
        <v>30912.47</v>
      </c>
      <c r="K120" s="264"/>
      <c r="L120" s="264"/>
      <c r="M120" s="264"/>
      <c r="N120" s="264"/>
      <c r="O120" s="100">
        <v>44469</v>
      </c>
      <c r="P120" s="578">
        <v>374</v>
      </c>
      <c r="Q120" s="578">
        <v>374</v>
      </c>
      <c r="R120" s="578">
        <v>18</v>
      </c>
      <c r="S120" s="100">
        <v>44376</v>
      </c>
      <c r="T120" s="112">
        <v>44926</v>
      </c>
      <c r="U120" s="112"/>
      <c r="V120" s="112"/>
      <c r="W120" s="112"/>
      <c r="X120" s="112">
        <v>44851</v>
      </c>
      <c r="Y120" s="564">
        <v>61196296</v>
      </c>
      <c r="Z120" s="58" t="s">
        <v>642</v>
      </c>
      <c r="AA120" s="564"/>
      <c r="AB120" s="112" t="s">
        <v>598</v>
      </c>
      <c r="AC120" s="112"/>
      <c r="AD120" s="54">
        <v>82</v>
      </c>
      <c r="AE120" s="618"/>
      <c r="AF120" s="618"/>
      <c r="AG120" s="618"/>
      <c r="AH120" s="618"/>
      <c r="AI120" s="587" t="s">
        <v>1179</v>
      </c>
      <c r="AJ120" s="578" t="s">
        <v>1179</v>
      </c>
      <c r="AK120" s="40" t="str">
        <f t="shared" si="2"/>
        <v>2021 год</v>
      </c>
      <c r="AL120" s="40" t="str">
        <f t="shared" si="3"/>
        <v>2021 год</v>
      </c>
      <c r="AM120" s="40">
        <f>1</f>
        <v>1</v>
      </c>
    </row>
    <row r="121" spans="1:39" x14ac:dyDescent="0.25">
      <c r="A121" s="587">
        <v>112</v>
      </c>
      <c r="B121" s="621" t="s">
        <v>893</v>
      </c>
      <c r="C121" s="100">
        <v>44015</v>
      </c>
      <c r="D121" s="578" t="s">
        <v>176</v>
      </c>
      <c r="E121" s="578" t="s">
        <v>740</v>
      </c>
      <c r="F121" s="584" t="s">
        <v>1644</v>
      </c>
      <c r="G121" s="578" t="s">
        <v>723</v>
      </c>
      <c r="H121" s="584" t="s">
        <v>2148</v>
      </c>
      <c r="I121" s="98">
        <v>4348889709</v>
      </c>
      <c r="J121" s="264">
        <v>33739.339999999997</v>
      </c>
      <c r="K121" s="264"/>
      <c r="L121" s="264"/>
      <c r="M121" s="264"/>
      <c r="N121" s="264"/>
      <c r="O121" s="100">
        <v>44039</v>
      </c>
      <c r="P121" s="578">
        <v>352</v>
      </c>
      <c r="Q121" s="578">
        <v>352</v>
      </c>
      <c r="R121" s="578">
        <v>9</v>
      </c>
      <c r="S121" s="100">
        <v>43589</v>
      </c>
      <c r="T121" s="112">
        <v>44838</v>
      </c>
      <c r="U121" s="112">
        <v>44930</v>
      </c>
      <c r="V121" s="112"/>
      <c r="W121" s="112"/>
      <c r="X121" s="112">
        <v>44869</v>
      </c>
      <c r="Y121" s="564">
        <v>78759175</v>
      </c>
      <c r="Z121" s="58" t="s">
        <v>678</v>
      </c>
      <c r="AA121" s="564"/>
      <c r="AB121" s="112" t="s">
        <v>599</v>
      </c>
      <c r="AC121" s="112"/>
      <c r="AD121" s="54">
        <v>70</v>
      </c>
      <c r="AE121" s="618"/>
      <c r="AF121" s="618"/>
      <c r="AG121" s="618"/>
      <c r="AH121" s="618"/>
      <c r="AI121" s="587" t="s">
        <v>176</v>
      </c>
      <c r="AJ121" s="578" t="s">
        <v>176</v>
      </c>
      <c r="AK121" s="40" t="str">
        <f t="shared" si="2"/>
        <v>2020 год</v>
      </c>
      <c r="AL121" s="40" t="str">
        <f t="shared" si="3"/>
        <v>2020 год</v>
      </c>
      <c r="AM121" s="40">
        <f>1</f>
        <v>1</v>
      </c>
    </row>
    <row r="122" spans="1:39" ht="31.5" x14ac:dyDescent="0.25">
      <c r="A122" s="587">
        <v>113</v>
      </c>
      <c r="B122" s="621" t="s">
        <v>802</v>
      </c>
      <c r="C122" s="100">
        <v>44378</v>
      </c>
      <c r="D122" s="578" t="s">
        <v>1179</v>
      </c>
      <c r="E122" s="54" t="s">
        <v>718</v>
      </c>
      <c r="F122" s="582" t="s">
        <v>1621</v>
      </c>
      <c r="G122" s="578" t="s">
        <v>719</v>
      </c>
      <c r="H122" s="584" t="s">
        <v>2211</v>
      </c>
      <c r="I122" s="98">
        <v>9387694698</v>
      </c>
      <c r="J122" s="264">
        <v>35764.5</v>
      </c>
      <c r="K122" s="264"/>
      <c r="L122" s="264"/>
      <c r="M122" s="264"/>
      <c r="N122" s="264"/>
      <c r="O122" s="100">
        <v>44390</v>
      </c>
      <c r="P122" s="578">
        <v>366</v>
      </c>
      <c r="Q122" s="578">
        <v>366</v>
      </c>
      <c r="R122" s="578" t="s">
        <v>252</v>
      </c>
      <c r="S122" s="100">
        <v>44331</v>
      </c>
      <c r="T122" s="112">
        <v>44787</v>
      </c>
      <c r="U122" s="112">
        <v>44879</v>
      </c>
      <c r="V122" s="112"/>
      <c r="W122" s="112"/>
      <c r="X122" s="112">
        <v>44865</v>
      </c>
      <c r="Y122" s="564">
        <v>93100997</v>
      </c>
      <c r="Z122" s="58" t="s">
        <v>1095</v>
      </c>
      <c r="AA122" s="564">
        <v>6719960698</v>
      </c>
      <c r="AB122" s="112" t="s">
        <v>596</v>
      </c>
      <c r="AC122" s="112"/>
      <c r="AD122" s="54">
        <v>73</v>
      </c>
      <c r="AE122" s="618"/>
      <c r="AF122" s="618"/>
      <c r="AG122" s="618"/>
      <c r="AH122" s="618"/>
      <c r="AI122" s="587" t="s">
        <v>1179</v>
      </c>
      <c r="AJ122" s="578" t="s">
        <v>1179</v>
      </c>
      <c r="AK122" s="40" t="str">
        <f t="shared" si="2"/>
        <v>2021 год</v>
      </c>
      <c r="AL122" s="40" t="str">
        <f t="shared" si="3"/>
        <v>2021 год</v>
      </c>
      <c r="AM122" s="40">
        <f>1</f>
        <v>1</v>
      </c>
    </row>
    <row r="123" spans="1:39" x14ac:dyDescent="0.25">
      <c r="A123" s="587">
        <v>114</v>
      </c>
      <c r="B123" s="621" t="s">
        <v>1096</v>
      </c>
      <c r="C123" s="100">
        <v>44391</v>
      </c>
      <c r="D123" s="578" t="s">
        <v>212</v>
      </c>
      <c r="E123" s="578" t="s">
        <v>828</v>
      </c>
      <c r="F123" s="584" t="s">
        <v>2112</v>
      </c>
      <c r="G123" s="578" t="s">
        <v>2170</v>
      </c>
      <c r="H123" s="584" t="s">
        <v>2171</v>
      </c>
      <c r="I123" s="98">
        <v>3779124848</v>
      </c>
      <c r="J123" s="264">
        <v>24702.9</v>
      </c>
      <c r="K123" s="264"/>
      <c r="L123" s="264"/>
      <c r="M123" s="264"/>
      <c r="N123" s="264"/>
      <c r="O123" s="100">
        <v>44419</v>
      </c>
      <c r="P123" s="578">
        <v>287</v>
      </c>
      <c r="Q123" s="578">
        <v>287</v>
      </c>
      <c r="R123" s="578">
        <v>9</v>
      </c>
      <c r="S123" s="100">
        <v>44219</v>
      </c>
      <c r="T123" s="112">
        <v>44795</v>
      </c>
      <c r="U123" s="112">
        <v>44887</v>
      </c>
      <c r="V123" s="112"/>
      <c r="W123" s="112"/>
      <c r="X123" s="112">
        <v>44874</v>
      </c>
      <c r="Y123" s="564">
        <v>35914325</v>
      </c>
      <c r="Z123" s="58" t="s">
        <v>633</v>
      </c>
      <c r="AA123" s="564"/>
      <c r="AB123" s="112" t="s">
        <v>599</v>
      </c>
      <c r="AC123" s="112"/>
      <c r="AD123" s="54">
        <v>72</v>
      </c>
      <c r="AE123" s="618"/>
      <c r="AF123" s="618"/>
      <c r="AG123" s="618"/>
      <c r="AH123" s="618"/>
      <c r="AI123" s="587" t="s">
        <v>212</v>
      </c>
      <c r="AJ123" s="578" t="s">
        <v>212</v>
      </c>
      <c r="AK123" s="40" t="str">
        <f t="shared" si="2"/>
        <v>2021 год</v>
      </c>
      <c r="AL123" s="40" t="str">
        <f t="shared" si="3"/>
        <v>2021 год</v>
      </c>
      <c r="AM123" s="40">
        <f>1</f>
        <v>1</v>
      </c>
    </row>
    <row r="124" spans="1:39" x14ac:dyDescent="0.25">
      <c r="A124" s="587">
        <v>115</v>
      </c>
      <c r="B124" s="621" t="s">
        <v>795</v>
      </c>
      <c r="C124" s="100">
        <v>44208</v>
      </c>
      <c r="D124" s="578" t="s">
        <v>1179</v>
      </c>
      <c r="E124" s="578" t="s">
        <v>713</v>
      </c>
      <c r="F124" s="584" t="s">
        <v>1748</v>
      </c>
      <c r="G124" s="578" t="s">
        <v>714</v>
      </c>
      <c r="H124" s="584" t="s">
        <v>2121</v>
      </c>
      <c r="I124" s="98">
        <v>2492600422</v>
      </c>
      <c r="J124" s="264">
        <v>15760.1</v>
      </c>
      <c r="K124" s="264"/>
      <c r="L124" s="264"/>
      <c r="M124" s="264"/>
      <c r="N124" s="264"/>
      <c r="O124" s="100">
        <v>44230</v>
      </c>
      <c r="P124" s="578">
        <v>167</v>
      </c>
      <c r="Q124" s="578">
        <v>160</v>
      </c>
      <c r="R124" s="578">
        <v>9</v>
      </c>
      <c r="S124" s="100">
        <v>44166</v>
      </c>
      <c r="T124" s="112">
        <v>44712</v>
      </c>
      <c r="U124" s="112">
        <v>44804</v>
      </c>
      <c r="V124" s="112" t="s">
        <v>1085</v>
      </c>
      <c r="W124" s="112">
        <v>44985</v>
      </c>
      <c r="X124" s="112">
        <v>44883</v>
      </c>
      <c r="Y124" s="564" t="s">
        <v>614</v>
      </c>
      <c r="Z124" s="58" t="s">
        <v>615</v>
      </c>
      <c r="AA124" s="564"/>
      <c r="AB124" s="112" t="s">
        <v>594</v>
      </c>
      <c r="AC124" s="112"/>
      <c r="AD124" s="54">
        <v>79</v>
      </c>
      <c r="AE124" s="618"/>
      <c r="AF124" s="618"/>
      <c r="AG124" s="618"/>
      <c r="AH124" s="618"/>
      <c r="AI124" s="587" t="s">
        <v>1179</v>
      </c>
      <c r="AJ124" s="578" t="s">
        <v>1179</v>
      </c>
      <c r="AK124" s="40" t="str">
        <f t="shared" si="2"/>
        <v>2021 год</v>
      </c>
      <c r="AL124" s="40" t="str">
        <f t="shared" si="3"/>
        <v>2021 год</v>
      </c>
      <c r="AM124" s="40">
        <f>1</f>
        <v>1</v>
      </c>
    </row>
    <row r="125" spans="1:39" ht="31.5" x14ac:dyDescent="0.25">
      <c r="A125" s="587">
        <v>116</v>
      </c>
      <c r="B125" s="621" t="s">
        <v>1088</v>
      </c>
      <c r="C125" s="100">
        <v>44329</v>
      </c>
      <c r="D125" s="578" t="s">
        <v>1179</v>
      </c>
      <c r="E125" s="578" t="s">
        <v>716</v>
      </c>
      <c r="F125" s="580">
        <v>960340000376</v>
      </c>
      <c r="G125" s="578" t="s">
        <v>1756</v>
      </c>
      <c r="H125" s="584" t="s">
        <v>2124</v>
      </c>
      <c r="I125" s="98">
        <v>2467040747</v>
      </c>
      <c r="J125" s="264">
        <v>20246.28</v>
      </c>
      <c r="K125" s="264"/>
      <c r="L125" s="264"/>
      <c r="M125" s="264"/>
      <c r="N125" s="264"/>
      <c r="O125" s="100">
        <v>44356</v>
      </c>
      <c r="P125" s="578">
        <v>166</v>
      </c>
      <c r="Q125" s="578">
        <v>166</v>
      </c>
      <c r="R125" s="578">
        <v>9</v>
      </c>
      <c r="S125" s="100">
        <v>44239</v>
      </c>
      <c r="T125" s="112">
        <v>44938</v>
      </c>
      <c r="U125" s="112"/>
      <c r="V125" s="112"/>
      <c r="W125" s="112"/>
      <c r="X125" s="112">
        <v>44833</v>
      </c>
      <c r="Y125" s="564">
        <v>22639727</v>
      </c>
      <c r="Z125" s="58" t="s">
        <v>2327</v>
      </c>
      <c r="AA125" s="564">
        <v>1136038422</v>
      </c>
      <c r="AB125" s="112" t="s">
        <v>669</v>
      </c>
      <c r="AC125" s="112"/>
      <c r="AD125" s="54">
        <v>84</v>
      </c>
      <c r="AE125" s="618"/>
      <c r="AF125" s="618"/>
      <c r="AG125" s="618"/>
      <c r="AH125" s="618"/>
      <c r="AI125" s="587" t="s">
        <v>1179</v>
      </c>
      <c r="AJ125" s="578" t="s">
        <v>1179</v>
      </c>
      <c r="AK125" s="40" t="str">
        <f t="shared" si="2"/>
        <v>2021 год</v>
      </c>
      <c r="AL125" s="40" t="str">
        <f t="shared" si="3"/>
        <v>2021 год</v>
      </c>
      <c r="AM125" s="40">
        <f>1</f>
        <v>1</v>
      </c>
    </row>
    <row r="126" spans="1:39" x14ac:dyDescent="0.25">
      <c r="A126" s="587">
        <v>117</v>
      </c>
      <c r="B126" s="621" t="s">
        <v>1159</v>
      </c>
      <c r="C126" s="100">
        <v>44434</v>
      </c>
      <c r="D126" s="578" t="s">
        <v>1179</v>
      </c>
      <c r="E126" s="54" t="s">
        <v>718</v>
      </c>
      <c r="F126" s="582" t="s">
        <v>1621</v>
      </c>
      <c r="G126" s="578" t="s">
        <v>732</v>
      </c>
      <c r="H126" s="582" t="s">
        <v>2190</v>
      </c>
      <c r="I126" s="98">
        <v>4503146562</v>
      </c>
      <c r="J126" s="264">
        <v>23857.96</v>
      </c>
      <c r="K126" s="264"/>
      <c r="L126" s="264"/>
      <c r="M126" s="264"/>
      <c r="N126" s="264"/>
      <c r="O126" s="100">
        <v>44453</v>
      </c>
      <c r="P126" s="578">
        <v>287</v>
      </c>
      <c r="Q126" s="578">
        <v>287</v>
      </c>
      <c r="R126" s="578">
        <v>9.1199999999999992</v>
      </c>
      <c r="S126" s="100">
        <v>44337</v>
      </c>
      <c r="T126" s="112">
        <v>44825</v>
      </c>
      <c r="U126" s="112">
        <v>44916</v>
      </c>
      <c r="V126" s="112"/>
      <c r="W126" s="112"/>
      <c r="X126" s="112">
        <v>44881</v>
      </c>
      <c r="Y126" s="564">
        <v>44263909</v>
      </c>
      <c r="Z126" s="58" t="s">
        <v>639</v>
      </c>
      <c r="AA126" s="564">
        <v>3600544117</v>
      </c>
      <c r="AB126" s="564" t="s">
        <v>599</v>
      </c>
      <c r="AC126" s="564"/>
      <c r="AD126" s="54">
        <v>73</v>
      </c>
      <c r="AE126" s="618"/>
      <c r="AF126" s="618"/>
      <c r="AG126" s="618"/>
      <c r="AH126" s="618"/>
      <c r="AI126" s="587" t="s">
        <v>1179</v>
      </c>
      <c r="AJ126" s="578" t="s">
        <v>1179</v>
      </c>
      <c r="AK126" s="40" t="str">
        <f t="shared" si="2"/>
        <v>2021 год</v>
      </c>
      <c r="AL126" s="40" t="str">
        <f t="shared" si="3"/>
        <v>2021 год</v>
      </c>
      <c r="AM126" s="40">
        <f>1</f>
        <v>1</v>
      </c>
    </row>
    <row r="127" spans="1:39" ht="31.5" x14ac:dyDescent="0.25">
      <c r="A127" s="575" t="s">
        <v>28</v>
      </c>
      <c r="B127" s="621" t="s">
        <v>1477</v>
      </c>
      <c r="C127" s="100">
        <v>44581</v>
      </c>
      <c r="D127" s="578" t="s">
        <v>1179</v>
      </c>
      <c r="E127" s="578" t="s">
        <v>791</v>
      </c>
      <c r="F127" s="584" t="s">
        <v>1621</v>
      </c>
      <c r="G127" s="578" t="s">
        <v>732</v>
      </c>
      <c r="H127" s="582" t="s">
        <v>2190</v>
      </c>
      <c r="I127" s="98">
        <v>173419099</v>
      </c>
      <c r="J127" s="264">
        <v>0</v>
      </c>
      <c r="K127" s="264"/>
      <c r="L127" s="264"/>
      <c r="M127" s="264"/>
      <c r="N127" s="264"/>
      <c r="O127" s="100">
        <v>44588</v>
      </c>
      <c r="P127" s="578">
        <v>0</v>
      </c>
      <c r="Q127" s="578">
        <v>0</v>
      </c>
      <c r="R127" s="578"/>
      <c r="S127" s="100">
        <v>44516</v>
      </c>
      <c r="T127" s="112">
        <v>44825</v>
      </c>
      <c r="U127" s="112">
        <v>44916</v>
      </c>
      <c r="V127" s="112"/>
      <c r="W127" s="112"/>
      <c r="X127" s="112">
        <v>44881</v>
      </c>
      <c r="Y127" s="564">
        <v>1734191</v>
      </c>
      <c r="Z127" s="58" t="s">
        <v>2328</v>
      </c>
      <c r="AA127" s="564"/>
      <c r="AB127" s="112"/>
      <c r="AC127" s="112"/>
      <c r="AD127" s="54">
        <v>73</v>
      </c>
      <c r="AE127" s="618"/>
      <c r="AF127" s="618"/>
      <c r="AG127" s="618"/>
      <c r="AH127" s="618"/>
      <c r="AI127" s="587"/>
      <c r="AJ127" s="578" t="s">
        <v>1179</v>
      </c>
      <c r="AK127" s="40"/>
      <c r="AL127" s="40" t="str">
        <f t="shared" si="3"/>
        <v>2022 год</v>
      </c>
      <c r="AM127" s="40"/>
    </row>
    <row r="128" spans="1:39" x14ac:dyDescent="0.25">
      <c r="A128" s="587">
        <v>118</v>
      </c>
      <c r="B128" s="621" t="s">
        <v>1093</v>
      </c>
      <c r="C128" s="100">
        <v>44351</v>
      </c>
      <c r="D128" s="578" t="s">
        <v>753</v>
      </c>
      <c r="E128" s="578" t="s">
        <v>721</v>
      </c>
      <c r="F128" s="584" t="s">
        <v>2098</v>
      </c>
      <c r="G128" s="578" t="s">
        <v>2160</v>
      </c>
      <c r="H128" s="584" t="s">
        <v>2159</v>
      </c>
      <c r="I128" s="98">
        <v>5242062903</v>
      </c>
      <c r="J128" s="264">
        <v>22319</v>
      </c>
      <c r="K128" s="264"/>
      <c r="L128" s="264"/>
      <c r="M128" s="264"/>
      <c r="N128" s="264"/>
      <c r="O128" s="100">
        <v>44364</v>
      </c>
      <c r="P128" s="578">
        <v>292</v>
      </c>
      <c r="Q128" s="578">
        <v>292</v>
      </c>
      <c r="R128" s="578" t="s">
        <v>1219</v>
      </c>
      <c r="S128" s="100">
        <v>44287</v>
      </c>
      <c r="T128" s="112">
        <v>44469</v>
      </c>
      <c r="U128" s="112">
        <v>44925</v>
      </c>
      <c r="V128" s="112"/>
      <c r="W128" s="112"/>
      <c r="X128" s="112">
        <v>44868</v>
      </c>
      <c r="Y128" s="564">
        <v>51946728</v>
      </c>
      <c r="Z128" s="58" t="s">
        <v>628</v>
      </c>
      <c r="AA128" s="564">
        <v>3075654518</v>
      </c>
      <c r="AB128" s="112" t="s">
        <v>679</v>
      </c>
      <c r="AC128" s="112"/>
      <c r="AD128" s="54">
        <v>92</v>
      </c>
      <c r="AE128" s="618"/>
      <c r="AF128" s="618"/>
      <c r="AG128" s="618"/>
      <c r="AH128" s="618"/>
      <c r="AI128" s="587" t="s">
        <v>23</v>
      </c>
      <c r="AJ128" s="578" t="s">
        <v>23</v>
      </c>
      <c r="AK128" s="40" t="str">
        <f t="shared" si="2"/>
        <v>2021 год</v>
      </c>
      <c r="AL128" s="40" t="str">
        <f t="shared" si="3"/>
        <v>2021 год</v>
      </c>
      <c r="AM128" s="40">
        <f>1</f>
        <v>1</v>
      </c>
    </row>
    <row r="129" spans="1:39" x14ac:dyDescent="0.25">
      <c r="A129" s="587">
        <v>119</v>
      </c>
      <c r="B129" s="621" t="s">
        <v>1104</v>
      </c>
      <c r="C129" s="100">
        <v>44502</v>
      </c>
      <c r="D129" s="578" t="s">
        <v>1179</v>
      </c>
      <c r="E129" s="578" t="s">
        <v>716</v>
      </c>
      <c r="F129" s="580">
        <v>960340000376</v>
      </c>
      <c r="G129" s="578" t="s">
        <v>739</v>
      </c>
      <c r="H129" s="584" t="s">
        <v>2177</v>
      </c>
      <c r="I129" s="98">
        <v>2657879549</v>
      </c>
      <c r="J129" s="264">
        <v>13835.8</v>
      </c>
      <c r="K129" s="264"/>
      <c r="L129" s="264"/>
      <c r="M129" s="264"/>
      <c r="N129" s="264"/>
      <c r="O129" s="100">
        <v>44519</v>
      </c>
      <c r="P129" s="578">
        <v>184</v>
      </c>
      <c r="Q129" s="578">
        <v>184</v>
      </c>
      <c r="R129" s="578">
        <v>9</v>
      </c>
      <c r="S129" s="100">
        <v>44414</v>
      </c>
      <c r="T129" s="112">
        <v>44932</v>
      </c>
      <c r="U129" s="112"/>
      <c r="V129" s="112"/>
      <c r="W129" s="112"/>
      <c r="X129" s="112">
        <v>44860</v>
      </c>
      <c r="Y129" s="564">
        <v>26330712</v>
      </c>
      <c r="Z129" s="58" t="s">
        <v>651</v>
      </c>
      <c r="AA129" s="564">
        <v>1904267944</v>
      </c>
      <c r="AB129" s="112" t="s">
        <v>607</v>
      </c>
      <c r="AC129" s="112"/>
      <c r="AD129" s="54">
        <v>74</v>
      </c>
      <c r="AE129" s="618"/>
      <c r="AF129" s="618"/>
      <c r="AG129" s="618"/>
      <c r="AH129" s="618"/>
      <c r="AI129" s="587" t="s">
        <v>1179</v>
      </c>
      <c r="AJ129" s="578" t="s">
        <v>1179</v>
      </c>
      <c r="AK129" s="40" t="str">
        <f t="shared" si="2"/>
        <v>2021 год</v>
      </c>
      <c r="AL129" s="40" t="str">
        <f t="shared" si="3"/>
        <v>2021 год</v>
      </c>
      <c r="AM129" s="40">
        <f>1</f>
        <v>1</v>
      </c>
    </row>
    <row r="130" spans="1:39" x14ac:dyDescent="0.25">
      <c r="A130" s="587">
        <v>120</v>
      </c>
      <c r="B130" s="621" t="s">
        <v>763</v>
      </c>
      <c r="C130" s="100">
        <v>44581</v>
      </c>
      <c r="D130" s="578" t="s">
        <v>1179</v>
      </c>
      <c r="E130" s="578" t="s">
        <v>686</v>
      </c>
      <c r="F130" s="584" t="s">
        <v>2110</v>
      </c>
      <c r="G130" s="578" t="s">
        <v>687</v>
      </c>
      <c r="H130" s="584" t="s">
        <v>2178</v>
      </c>
      <c r="I130" s="98">
        <v>7890743167</v>
      </c>
      <c r="J130" s="264">
        <v>34762</v>
      </c>
      <c r="K130" s="264"/>
      <c r="L130" s="264"/>
      <c r="M130" s="264"/>
      <c r="N130" s="264"/>
      <c r="O130" s="100">
        <v>44593</v>
      </c>
      <c r="P130" s="578">
        <v>430</v>
      </c>
      <c r="Q130" s="578">
        <v>430</v>
      </c>
      <c r="R130" s="578">
        <v>18</v>
      </c>
      <c r="S130" s="100">
        <v>44512</v>
      </c>
      <c r="T130" s="112">
        <v>45058</v>
      </c>
      <c r="U130" s="112"/>
      <c r="V130" s="112"/>
      <c r="W130" s="112"/>
      <c r="X130" s="112">
        <v>44837</v>
      </c>
      <c r="Y130" s="564">
        <v>63075630</v>
      </c>
      <c r="Z130" s="58" t="s">
        <v>603</v>
      </c>
      <c r="AA130" s="564"/>
      <c r="AB130" s="112" t="s">
        <v>598</v>
      </c>
      <c r="AC130" s="112"/>
      <c r="AD130" s="54">
        <v>82</v>
      </c>
      <c r="AE130" s="618"/>
      <c r="AF130" s="618"/>
      <c r="AG130" s="618"/>
      <c r="AH130" s="618"/>
      <c r="AI130" s="587" t="s">
        <v>1179</v>
      </c>
      <c r="AJ130" s="578" t="s">
        <v>1179</v>
      </c>
      <c r="AK130" s="40" t="str">
        <f t="shared" si="2"/>
        <v>2022 год</v>
      </c>
      <c r="AL130" s="40" t="str">
        <f t="shared" si="3"/>
        <v>2022 год</v>
      </c>
      <c r="AM130" s="40">
        <f>1</f>
        <v>1</v>
      </c>
    </row>
    <row r="131" spans="1:39" ht="31.5" x14ac:dyDescent="0.25">
      <c r="A131" s="587">
        <v>121</v>
      </c>
      <c r="B131" s="621" t="s">
        <v>798</v>
      </c>
      <c r="C131" s="100">
        <v>44336</v>
      </c>
      <c r="D131" s="578" t="s">
        <v>1179</v>
      </c>
      <c r="E131" s="54" t="s">
        <v>718</v>
      </c>
      <c r="F131" s="582" t="s">
        <v>1621</v>
      </c>
      <c r="G131" s="578" t="s">
        <v>719</v>
      </c>
      <c r="H131" s="584" t="s">
        <v>2211</v>
      </c>
      <c r="I131" s="98">
        <v>7638011068</v>
      </c>
      <c r="J131" s="264">
        <v>38552.29</v>
      </c>
      <c r="K131" s="264"/>
      <c r="L131" s="264"/>
      <c r="M131" s="264"/>
      <c r="N131" s="264"/>
      <c r="O131" s="100">
        <v>44344</v>
      </c>
      <c r="P131" s="578">
        <v>318</v>
      </c>
      <c r="Q131" s="578">
        <v>318</v>
      </c>
      <c r="R131" s="578">
        <v>9</v>
      </c>
      <c r="S131" s="100">
        <v>44270</v>
      </c>
      <c r="T131" s="112">
        <v>44972</v>
      </c>
      <c r="U131" s="112"/>
      <c r="V131" s="112"/>
      <c r="W131" s="112"/>
      <c r="X131" s="112">
        <v>44887</v>
      </c>
      <c r="Y131" s="564">
        <v>75230080</v>
      </c>
      <c r="Z131" s="58" t="s">
        <v>2329</v>
      </c>
      <c r="AA131" s="564">
        <v>6189872863</v>
      </c>
      <c r="AB131" s="112" t="s">
        <v>1312</v>
      </c>
      <c r="AC131" s="112"/>
      <c r="AD131" s="54">
        <v>81</v>
      </c>
      <c r="AE131" s="618"/>
      <c r="AF131" s="618"/>
      <c r="AG131" s="618"/>
      <c r="AH131" s="618"/>
      <c r="AI131" s="587" t="s">
        <v>1179</v>
      </c>
      <c r="AJ131" s="578" t="s">
        <v>1179</v>
      </c>
      <c r="AK131" s="40" t="str">
        <f t="shared" si="2"/>
        <v>2021 год</v>
      </c>
      <c r="AL131" s="40" t="str">
        <f t="shared" si="3"/>
        <v>2021 год</v>
      </c>
      <c r="AM131" s="40">
        <f>1</f>
        <v>1</v>
      </c>
    </row>
    <row r="132" spans="1:39" ht="31.5" x14ac:dyDescent="0.25">
      <c r="A132" s="575" t="s">
        <v>28</v>
      </c>
      <c r="B132" s="621" t="s">
        <v>1478</v>
      </c>
      <c r="C132" s="100">
        <v>44523</v>
      </c>
      <c r="D132" s="578" t="s">
        <v>1179</v>
      </c>
      <c r="E132" s="578" t="s">
        <v>791</v>
      </c>
      <c r="F132" s="584" t="s">
        <v>1621</v>
      </c>
      <c r="G132" s="578" t="s">
        <v>719</v>
      </c>
      <c r="H132" s="584" t="s">
        <v>2211</v>
      </c>
      <c r="I132" s="98">
        <v>674905764</v>
      </c>
      <c r="J132" s="264">
        <v>0</v>
      </c>
      <c r="K132" s="264"/>
      <c r="L132" s="264"/>
      <c r="M132" s="264"/>
      <c r="N132" s="264"/>
      <c r="O132" s="100">
        <v>44532</v>
      </c>
      <c r="P132" s="578">
        <v>0</v>
      </c>
      <c r="Q132" s="578">
        <v>0</v>
      </c>
      <c r="R132" s="578">
        <v>0</v>
      </c>
      <c r="S132" s="100">
        <v>44459</v>
      </c>
      <c r="T132" s="112">
        <v>44972</v>
      </c>
      <c r="U132" s="112"/>
      <c r="V132" s="112"/>
      <c r="W132" s="112"/>
      <c r="X132" s="112">
        <v>44887</v>
      </c>
      <c r="Y132" s="564">
        <v>6749058</v>
      </c>
      <c r="Z132" s="58" t="s">
        <v>2330</v>
      </c>
      <c r="AA132" s="564"/>
      <c r="AB132" s="112" t="s">
        <v>1312</v>
      </c>
      <c r="AC132" s="112"/>
      <c r="AD132" s="54">
        <v>81</v>
      </c>
      <c r="AE132" s="618"/>
      <c r="AF132" s="618"/>
      <c r="AG132" s="618"/>
      <c r="AH132" s="618"/>
      <c r="AI132" s="587"/>
      <c r="AJ132" s="578" t="s">
        <v>1179</v>
      </c>
      <c r="AK132" s="40"/>
      <c r="AL132" s="40" t="str">
        <f t="shared" ref="AL132:AL195" si="4">CONCATENATE(YEAR(O132)," год")</f>
        <v>2021 год</v>
      </c>
      <c r="AM132" s="40"/>
    </row>
    <row r="133" spans="1:39" ht="31.5" x14ac:dyDescent="0.25">
      <c r="A133" s="587">
        <v>122</v>
      </c>
      <c r="B133" s="621" t="s">
        <v>1090</v>
      </c>
      <c r="C133" s="100">
        <v>44341</v>
      </c>
      <c r="D133" s="578" t="s">
        <v>1179</v>
      </c>
      <c r="E133" s="578" t="s">
        <v>716</v>
      </c>
      <c r="F133" s="580">
        <v>960340000376</v>
      </c>
      <c r="G133" s="578" t="s">
        <v>717</v>
      </c>
      <c r="H133" s="584" t="s">
        <v>1967</v>
      </c>
      <c r="I133" s="98">
        <v>4203952682</v>
      </c>
      <c r="J133" s="264">
        <v>27491.57</v>
      </c>
      <c r="K133" s="264"/>
      <c r="L133" s="264"/>
      <c r="M133" s="264"/>
      <c r="N133" s="264"/>
      <c r="O133" s="100">
        <v>44358</v>
      </c>
      <c r="P133" s="578">
        <v>280</v>
      </c>
      <c r="Q133" s="578">
        <v>280</v>
      </c>
      <c r="R133" s="578">
        <v>21</v>
      </c>
      <c r="S133" s="100">
        <v>44054</v>
      </c>
      <c r="T133" s="112">
        <v>44937</v>
      </c>
      <c r="U133" s="112"/>
      <c r="V133" s="112"/>
      <c r="W133" s="112"/>
      <c r="X133" s="112">
        <v>44918</v>
      </c>
      <c r="Y133" s="564">
        <v>41086170</v>
      </c>
      <c r="Z133" s="58" t="s">
        <v>2331</v>
      </c>
      <c r="AA133" s="564">
        <v>2552875850</v>
      </c>
      <c r="AB133" s="112" t="s">
        <v>1312</v>
      </c>
      <c r="AC133" s="112"/>
      <c r="AD133" s="54">
        <v>84</v>
      </c>
      <c r="AE133" s="618"/>
      <c r="AF133" s="618"/>
      <c r="AG133" s="618"/>
      <c r="AH133" s="618"/>
      <c r="AI133" s="587" t="s">
        <v>1179</v>
      </c>
      <c r="AJ133" s="578" t="s">
        <v>1179</v>
      </c>
      <c r="AK133" s="40" t="str">
        <f t="shared" ref="AK133:AK195" si="5">CONCATENATE(YEAR(O133)," год")</f>
        <v>2021 год</v>
      </c>
      <c r="AL133" s="40" t="str">
        <f t="shared" si="4"/>
        <v>2021 год</v>
      </c>
      <c r="AM133" s="40">
        <f>1</f>
        <v>1</v>
      </c>
    </row>
    <row r="134" spans="1:39" x14ac:dyDescent="0.25">
      <c r="A134" s="587" t="s">
        <v>28</v>
      </c>
      <c r="B134" s="621" t="s">
        <v>1720</v>
      </c>
      <c r="C134" s="100">
        <v>44796</v>
      </c>
      <c r="D134" s="578" t="s">
        <v>452</v>
      </c>
      <c r="E134" s="578" t="s">
        <v>793</v>
      </c>
      <c r="F134" s="584" t="s">
        <v>1999</v>
      </c>
      <c r="G134" s="578" t="s">
        <v>790</v>
      </c>
      <c r="H134" s="584" t="s">
        <v>2192</v>
      </c>
      <c r="I134" s="98">
        <v>881590818</v>
      </c>
      <c r="J134" s="264">
        <v>5910</v>
      </c>
      <c r="K134" s="264">
        <v>3993.3</v>
      </c>
      <c r="L134" s="264"/>
      <c r="M134" s="264">
        <v>172</v>
      </c>
      <c r="N134" s="264">
        <v>287</v>
      </c>
      <c r="O134" s="100">
        <v>44823</v>
      </c>
      <c r="P134" s="578">
        <v>64</v>
      </c>
      <c r="Q134" s="578">
        <v>64</v>
      </c>
      <c r="R134" s="578">
        <v>4</v>
      </c>
      <c r="S134" s="100">
        <v>44679</v>
      </c>
      <c r="T134" s="112">
        <v>45258</v>
      </c>
      <c r="U134" s="112"/>
      <c r="V134" s="112"/>
      <c r="W134" s="112"/>
      <c r="X134" s="112">
        <v>44895</v>
      </c>
      <c r="Y134" s="564"/>
      <c r="Z134" s="58"/>
      <c r="AA134" s="564"/>
      <c r="AB134" s="112"/>
      <c r="AC134" s="112"/>
      <c r="AD134" s="54"/>
      <c r="AE134" s="618"/>
      <c r="AF134" s="618"/>
      <c r="AG134" s="618">
        <v>246</v>
      </c>
      <c r="AH134" s="618"/>
      <c r="AI134" s="587"/>
      <c r="AJ134" s="578" t="s">
        <v>452</v>
      </c>
      <c r="AK134" s="40"/>
      <c r="AL134" s="40" t="str">
        <f t="shared" si="4"/>
        <v>2022 год</v>
      </c>
      <c r="AM134" s="40"/>
    </row>
    <row r="135" spans="1:39" ht="31.5" x14ac:dyDescent="0.25">
      <c r="A135" s="587">
        <v>123</v>
      </c>
      <c r="B135" s="621" t="s">
        <v>1097</v>
      </c>
      <c r="C135" s="100">
        <v>44446</v>
      </c>
      <c r="D135" s="578" t="s">
        <v>753</v>
      </c>
      <c r="E135" s="578" t="s">
        <v>695</v>
      </c>
      <c r="F135" s="580">
        <v>960340000376</v>
      </c>
      <c r="G135" s="578" t="s">
        <v>782</v>
      </c>
      <c r="H135" s="584" t="s">
        <v>2142</v>
      </c>
      <c r="I135" s="98">
        <v>4141712471</v>
      </c>
      <c r="J135" s="264">
        <v>20418.099999999999</v>
      </c>
      <c r="K135" s="264"/>
      <c r="L135" s="264"/>
      <c r="M135" s="264"/>
      <c r="N135" s="264"/>
      <c r="O135" s="100">
        <v>44470</v>
      </c>
      <c r="P135" s="578">
        <v>280</v>
      </c>
      <c r="Q135" s="578">
        <v>280</v>
      </c>
      <c r="R135" s="578">
        <v>15</v>
      </c>
      <c r="S135" s="100" t="s">
        <v>284</v>
      </c>
      <c r="T135" s="112" t="s">
        <v>283</v>
      </c>
      <c r="U135" s="112">
        <v>44973</v>
      </c>
      <c r="V135" s="112"/>
      <c r="W135" s="112"/>
      <c r="X135" s="112">
        <v>44921</v>
      </c>
      <c r="Y135" s="564">
        <v>40236838</v>
      </c>
      <c r="Z135" s="58" t="s">
        <v>2332</v>
      </c>
      <c r="AA135" s="564">
        <v>3070319163</v>
      </c>
      <c r="AB135" s="112" t="s">
        <v>598</v>
      </c>
      <c r="AC135" s="112"/>
      <c r="AD135" s="54">
        <v>74</v>
      </c>
      <c r="AE135" s="618"/>
      <c r="AF135" s="618"/>
      <c r="AG135" s="618"/>
      <c r="AH135" s="618"/>
      <c r="AI135" s="587" t="s">
        <v>23</v>
      </c>
      <c r="AJ135" s="578" t="s">
        <v>23</v>
      </c>
      <c r="AK135" s="40" t="str">
        <f t="shared" si="5"/>
        <v>2021 год</v>
      </c>
      <c r="AL135" s="40" t="str">
        <f t="shared" si="4"/>
        <v>2021 год</v>
      </c>
      <c r="AM135" s="40">
        <f>1</f>
        <v>1</v>
      </c>
    </row>
    <row r="136" spans="1:39" x14ac:dyDescent="0.25">
      <c r="A136" s="587">
        <v>124</v>
      </c>
      <c r="B136" s="621" t="s">
        <v>777</v>
      </c>
      <c r="C136" s="100">
        <v>44747</v>
      </c>
      <c r="D136" s="578" t="s">
        <v>174</v>
      </c>
      <c r="E136" s="578" t="s">
        <v>702</v>
      </c>
      <c r="F136" s="582" t="s">
        <v>1639</v>
      </c>
      <c r="G136" s="578" t="s">
        <v>710</v>
      </c>
      <c r="H136" s="582" t="s">
        <v>1812</v>
      </c>
      <c r="I136" s="98">
        <v>1977884401</v>
      </c>
      <c r="J136" s="264">
        <v>7070.7</v>
      </c>
      <c r="K136" s="264"/>
      <c r="L136" s="264"/>
      <c r="M136" s="264"/>
      <c r="N136" s="264"/>
      <c r="O136" s="100">
        <v>44784</v>
      </c>
      <c r="P136" s="578">
        <v>100</v>
      </c>
      <c r="Q136" s="578">
        <v>100</v>
      </c>
      <c r="R136" s="578">
        <v>5</v>
      </c>
      <c r="S136" s="112">
        <v>44676</v>
      </c>
      <c r="T136" s="112">
        <v>45010</v>
      </c>
      <c r="U136" s="112"/>
      <c r="V136" s="112"/>
      <c r="W136" s="112"/>
      <c r="X136" s="112">
        <v>44922</v>
      </c>
      <c r="Y136" s="564">
        <v>39413928</v>
      </c>
      <c r="Z136" s="58" t="s">
        <v>673</v>
      </c>
      <c r="AA136" s="564"/>
      <c r="AB136" s="112" t="s">
        <v>594</v>
      </c>
      <c r="AC136" s="112"/>
      <c r="AD136" s="54">
        <v>91</v>
      </c>
      <c r="AE136" s="618"/>
      <c r="AF136" s="618"/>
      <c r="AG136" s="618"/>
      <c r="AH136" s="618"/>
      <c r="AI136" s="587" t="s">
        <v>174</v>
      </c>
      <c r="AJ136" s="578" t="s">
        <v>174</v>
      </c>
      <c r="AK136" s="40" t="str">
        <f t="shared" si="5"/>
        <v>2022 год</v>
      </c>
      <c r="AL136" s="40" t="str">
        <f t="shared" si="4"/>
        <v>2022 год</v>
      </c>
      <c r="AM136" s="40">
        <f>1</f>
        <v>1</v>
      </c>
    </row>
    <row r="137" spans="1:39" x14ac:dyDescent="0.25">
      <c r="A137" s="587">
        <v>125</v>
      </c>
      <c r="B137" s="621" t="s">
        <v>776</v>
      </c>
      <c r="C137" s="100">
        <v>44733</v>
      </c>
      <c r="D137" s="578" t="s">
        <v>759</v>
      </c>
      <c r="E137" s="578" t="s">
        <v>706</v>
      </c>
      <c r="F137" s="584" t="s">
        <v>2064</v>
      </c>
      <c r="G137" s="578" t="s">
        <v>707</v>
      </c>
      <c r="H137" s="584" t="s">
        <v>2086</v>
      </c>
      <c r="I137" s="98">
        <v>1254168086</v>
      </c>
      <c r="J137" s="264">
        <v>4352.5</v>
      </c>
      <c r="K137" s="264">
        <v>2544.1999999999998</v>
      </c>
      <c r="L137" s="264">
        <v>117.2</v>
      </c>
      <c r="M137" s="264">
        <v>288</v>
      </c>
      <c r="N137" s="264">
        <v>458</v>
      </c>
      <c r="O137" s="100">
        <v>44777</v>
      </c>
      <c r="P137" s="578">
        <v>58</v>
      </c>
      <c r="Q137" s="578">
        <v>70</v>
      </c>
      <c r="R137" s="578">
        <v>5</v>
      </c>
      <c r="S137" s="100">
        <v>44649</v>
      </c>
      <c r="T137" s="112">
        <v>44955</v>
      </c>
      <c r="U137" s="112"/>
      <c r="V137" s="112"/>
      <c r="W137" s="112"/>
      <c r="X137" s="112">
        <v>44944</v>
      </c>
      <c r="Y137" s="564">
        <v>9996628</v>
      </c>
      <c r="Z137" s="58" t="s">
        <v>667</v>
      </c>
      <c r="AA137" s="564"/>
      <c r="AB137" s="112" t="s">
        <v>599</v>
      </c>
      <c r="AC137" s="112"/>
      <c r="AD137" s="54">
        <v>96</v>
      </c>
      <c r="AE137" s="618"/>
      <c r="AF137" s="618"/>
      <c r="AG137" s="618"/>
      <c r="AH137" s="618"/>
      <c r="AI137" s="587" t="s">
        <v>1843</v>
      </c>
      <c r="AJ137" s="578" t="s">
        <v>1843</v>
      </c>
      <c r="AK137" s="40" t="str">
        <f t="shared" si="5"/>
        <v>2022 год</v>
      </c>
      <c r="AL137" s="40" t="str">
        <f t="shared" si="4"/>
        <v>2022 год</v>
      </c>
      <c r="AM137" s="40">
        <f>1</f>
        <v>1</v>
      </c>
    </row>
    <row r="138" spans="1:39" x14ac:dyDescent="0.25">
      <c r="A138" s="587">
        <v>126</v>
      </c>
      <c r="B138" s="621" t="s">
        <v>804</v>
      </c>
      <c r="C138" s="100">
        <v>44411</v>
      </c>
      <c r="D138" s="578" t="s">
        <v>1179</v>
      </c>
      <c r="E138" s="578" t="s">
        <v>729</v>
      </c>
      <c r="F138" s="584" t="s">
        <v>1954</v>
      </c>
      <c r="G138" s="578" t="s">
        <v>730</v>
      </c>
      <c r="H138" s="584" t="s">
        <v>2198</v>
      </c>
      <c r="I138" s="98">
        <v>1913348225</v>
      </c>
      <c r="J138" s="264">
        <v>10142.5</v>
      </c>
      <c r="K138" s="264"/>
      <c r="L138" s="264"/>
      <c r="M138" s="264"/>
      <c r="N138" s="264"/>
      <c r="O138" s="100">
        <v>44421</v>
      </c>
      <c r="P138" s="578">
        <v>76</v>
      </c>
      <c r="Q138" s="578">
        <v>76</v>
      </c>
      <c r="R138" s="578">
        <v>12</v>
      </c>
      <c r="S138" s="100">
        <v>44305</v>
      </c>
      <c r="T138" s="112">
        <v>44670</v>
      </c>
      <c r="U138" s="112">
        <v>44761</v>
      </c>
      <c r="V138" s="112">
        <v>44853</v>
      </c>
      <c r="W138" s="112">
        <v>44945</v>
      </c>
      <c r="X138" s="112">
        <v>44930</v>
      </c>
      <c r="Y138" s="564">
        <v>15845471</v>
      </c>
      <c r="Z138" s="58" t="s">
        <v>634</v>
      </c>
      <c r="AA138" s="564"/>
      <c r="AB138" s="112" t="s">
        <v>669</v>
      </c>
      <c r="AC138" s="112"/>
      <c r="AD138" s="54">
        <v>87</v>
      </c>
      <c r="AE138" s="618"/>
      <c r="AF138" s="618"/>
      <c r="AG138" s="618"/>
      <c r="AH138" s="618"/>
      <c r="AI138" s="587" t="s">
        <v>1179</v>
      </c>
      <c r="AJ138" s="578" t="s">
        <v>1179</v>
      </c>
      <c r="AK138" s="40" t="str">
        <f t="shared" si="5"/>
        <v>2021 год</v>
      </c>
      <c r="AL138" s="40" t="str">
        <f t="shared" si="4"/>
        <v>2021 год</v>
      </c>
      <c r="AM138" s="40">
        <f>1</f>
        <v>1</v>
      </c>
    </row>
    <row r="139" spans="1:39" ht="31.5" x14ac:dyDescent="0.25">
      <c r="A139" s="587">
        <v>127</v>
      </c>
      <c r="B139" s="621" t="s">
        <v>1105</v>
      </c>
      <c r="C139" s="100">
        <v>44518</v>
      </c>
      <c r="D139" s="578" t="s">
        <v>1179</v>
      </c>
      <c r="E139" s="578" t="s">
        <v>716</v>
      </c>
      <c r="F139" s="580">
        <v>960340000376</v>
      </c>
      <c r="G139" s="578" t="s">
        <v>823</v>
      </c>
      <c r="H139" s="584" t="s">
        <v>2141</v>
      </c>
      <c r="I139" s="98">
        <v>714942693</v>
      </c>
      <c r="J139" s="264">
        <v>4226.16</v>
      </c>
      <c r="K139" s="264">
        <v>3451.45</v>
      </c>
      <c r="L139" s="264"/>
      <c r="M139" s="264">
        <v>169</v>
      </c>
      <c r="N139" s="264">
        <v>330</v>
      </c>
      <c r="O139" s="100">
        <v>44537</v>
      </c>
      <c r="P139" s="578">
        <v>32</v>
      </c>
      <c r="Q139" s="578">
        <v>32</v>
      </c>
      <c r="R139" s="578">
        <v>8</v>
      </c>
      <c r="S139" s="100">
        <v>44475</v>
      </c>
      <c r="T139" s="112">
        <v>44687</v>
      </c>
      <c r="U139" s="112">
        <v>44779</v>
      </c>
      <c r="V139" s="112">
        <v>44871</v>
      </c>
      <c r="W139" s="112">
        <v>44963</v>
      </c>
      <c r="X139" s="112">
        <v>44956</v>
      </c>
      <c r="Y139" s="564">
        <v>7120664</v>
      </c>
      <c r="Z139" s="58" t="s">
        <v>2333</v>
      </c>
      <c r="AA139" s="564">
        <v>482686491</v>
      </c>
      <c r="AB139" s="112" t="s">
        <v>599</v>
      </c>
      <c r="AC139" s="112"/>
      <c r="AD139" s="54">
        <v>74</v>
      </c>
      <c r="AE139" s="618"/>
      <c r="AF139" s="618"/>
      <c r="AG139" s="618"/>
      <c r="AH139" s="618"/>
      <c r="AI139" s="587" t="s">
        <v>1179</v>
      </c>
      <c r="AJ139" s="578" t="s">
        <v>1179</v>
      </c>
      <c r="AK139" s="40" t="str">
        <f t="shared" si="5"/>
        <v>2021 год</v>
      </c>
      <c r="AL139" s="40" t="str">
        <f t="shared" si="4"/>
        <v>2021 год</v>
      </c>
      <c r="AM139" s="40">
        <f>1</f>
        <v>1</v>
      </c>
    </row>
    <row r="140" spans="1:39" x14ac:dyDescent="0.25">
      <c r="A140" s="587">
        <v>128</v>
      </c>
      <c r="B140" s="621" t="s">
        <v>811</v>
      </c>
      <c r="C140" s="100">
        <v>44516</v>
      </c>
      <c r="D140" s="578" t="s">
        <v>1179</v>
      </c>
      <c r="E140" s="578" t="s">
        <v>742</v>
      </c>
      <c r="F140" s="584" t="s">
        <v>2090</v>
      </c>
      <c r="G140" s="578" t="s">
        <v>743</v>
      </c>
      <c r="H140" s="584" t="s">
        <v>2145</v>
      </c>
      <c r="I140" s="98">
        <v>14427929363</v>
      </c>
      <c r="J140" s="264">
        <v>52895.49</v>
      </c>
      <c r="K140" s="264"/>
      <c r="L140" s="264"/>
      <c r="M140" s="264"/>
      <c r="N140" s="264"/>
      <c r="O140" s="100">
        <v>44526</v>
      </c>
      <c r="P140" s="578">
        <v>505</v>
      </c>
      <c r="Q140" s="578">
        <v>505</v>
      </c>
      <c r="R140" s="578" t="s">
        <v>359</v>
      </c>
      <c r="S140" s="100">
        <v>44482</v>
      </c>
      <c r="T140" s="112">
        <v>45212</v>
      </c>
      <c r="U140" s="112"/>
      <c r="V140" s="112"/>
      <c r="W140" s="112"/>
      <c r="X140" s="112">
        <v>44957</v>
      </c>
      <c r="Y140" s="564">
        <v>141649069</v>
      </c>
      <c r="Z140" s="58" t="s">
        <v>653</v>
      </c>
      <c r="AA140" s="564">
        <v>10802747511</v>
      </c>
      <c r="AB140" s="112" t="s">
        <v>1312</v>
      </c>
      <c r="AC140" s="112"/>
      <c r="AD140" s="54">
        <v>70</v>
      </c>
      <c r="AE140" s="618"/>
      <c r="AF140" s="618"/>
      <c r="AG140" s="618"/>
      <c r="AH140" s="618"/>
      <c r="AI140" s="587" t="s">
        <v>1179</v>
      </c>
      <c r="AJ140" s="578" t="s">
        <v>1179</v>
      </c>
      <c r="AK140" s="40" t="str">
        <f t="shared" si="5"/>
        <v>2021 год</v>
      </c>
      <c r="AL140" s="40" t="str">
        <f t="shared" si="4"/>
        <v>2021 год</v>
      </c>
      <c r="AM140" s="40">
        <f>1</f>
        <v>1</v>
      </c>
    </row>
    <row r="141" spans="1:39" x14ac:dyDescent="0.25">
      <c r="A141" s="587">
        <v>129</v>
      </c>
      <c r="B141" s="621" t="s">
        <v>810</v>
      </c>
      <c r="C141" s="100">
        <v>44529</v>
      </c>
      <c r="D141" s="578" t="s">
        <v>1179</v>
      </c>
      <c r="E141" s="578" t="s">
        <v>744</v>
      </c>
      <c r="F141" s="584" t="s">
        <v>2111</v>
      </c>
      <c r="G141" s="578" t="s">
        <v>2213</v>
      </c>
      <c r="H141" s="584" t="s">
        <v>2214</v>
      </c>
      <c r="I141" s="98">
        <v>3723017842</v>
      </c>
      <c r="J141" s="264">
        <v>16646.939999999999</v>
      </c>
      <c r="K141" s="264"/>
      <c r="L141" s="264"/>
      <c r="M141" s="264"/>
      <c r="N141" s="264"/>
      <c r="O141" s="100">
        <v>44552</v>
      </c>
      <c r="P141" s="578">
        <v>202</v>
      </c>
      <c r="Q141" s="578">
        <v>202</v>
      </c>
      <c r="R141" s="578" t="s">
        <v>374</v>
      </c>
      <c r="S141" s="100">
        <v>44479</v>
      </c>
      <c r="T141" s="112">
        <v>44814</v>
      </c>
      <c r="U141" s="112">
        <v>44905</v>
      </c>
      <c r="V141" s="112">
        <v>44995</v>
      </c>
      <c r="W141" s="112"/>
      <c r="X141" s="112">
        <v>44957</v>
      </c>
      <c r="Y141" s="564">
        <v>34824929</v>
      </c>
      <c r="Z141" s="58" t="s">
        <v>630</v>
      </c>
      <c r="AA141" s="564"/>
      <c r="AB141" s="112" t="s">
        <v>594</v>
      </c>
      <c r="AC141" s="112"/>
      <c r="AD141" s="54">
        <v>69</v>
      </c>
      <c r="AE141" s="618"/>
      <c r="AF141" s="618"/>
      <c r="AG141" s="618"/>
      <c r="AH141" s="618"/>
      <c r="AI141" s="587" t="s">
        <v>1179</v>
      </c>
      <c r="AJ141" s="578" t="s">
        <v>1179</v>
      </c>
      <c r="AK141" s="40" t="str">
        <f t="shared" si="5"/>
        <v>2021 год</v>
      </c>
      <c r="AL141" s="40" t="str">
        <f t="shared" si="4"/>
        <v>2021 год</v>
      </c>
      <c r="AM141" s="40">
        <f>1</f>
        <v>1</v>
      </c>
    </row>
    <row r="142" spans="1:39" x14ac:dyDescent="0.25">
      <c r="A142" s="587">
        <v>130</v>
      </c>
      <c r="B142" s="621" t="s">
        <v>762</v>
      </c>
      <c r="C142" s="100">
        <v>44560</v>
      </c>
      <c r="D142" s="578" t="s">
        <v>174</v>
      </c>
      <c r="E142" s="578" t="s">
        <v>702</v>
      </c>
      <c r="F142" s="582" t="s">
        <v>1639</v>
      </c>
      <c r="G142" s="578" t="s">
        <v>684</v>
      </c>
      <c r="H142" s="584" t="s">
        <v>1968</v>
      </c>
      <c r="I142" s="98">
        <v>3337917283</v>
      </c>
      <c r="J142" s="264">
        <v>13974.9</v>
      </c>
      <c r="K142" s="264"/>
      <c r="L142" s="264"/>
      <c r="M142" s="264"/>
      <c r="N142" s="264"/>
      <c r="O142" s="100">
        <v>44581</v>
      </c>
      <c r="P142" s="578">
        <v>76</v>
      </c>
      <c r="Q142" s="578">
        <v>76</v>
      </c>
      <c r="R142" s="578">
        <v>5</v>
      </c>
      <c r="S142" s="100">
        <v>44477</v>
      </c>
      <c r="T142" s="112">
        <v>44781</v>
      </c>
      <c r="U142" s="112">
        <v>44873</v>
      </c>
      <c r="V142" s="112">
        <v>44965</v>
      </c>
      <c r="W142" s="112"/>
      <c r="X142" s="112">
        <v>44960</v>
      </c>
      <c r="Y142" s="564">
        <v>30170965</v>
      </c>
      <c r="Z142" s="58" t="s">
        <v>601</v>
      </c>
      <c r="AA142" s="564"/>
      <c r="AB142" s="112" t="s">
        <v>594</v>
      </c>
      <c r="AC142" s="112"/>
      <c r="AD142" s="54">
        <v>68</v>
      </c>
      <c r="AE142" s="618"/>
      <c r="AF142" s="618"/>
      <c r="AG142" s="618"/>
      <c r="AH142" s="618"/>
      <c r="AI142" s="587" t="s">
        <v>174</v>
      </c>
      <c r="AJ142" s="578" t="s">
        <v>174</v>
      </c>
      <c r="AK142" s="40" t="str">
        <f t="shared" si="5"/>
        <v>2022 год</v>
      </c>
      <c r="AL142" s="40" t="str">
        <f t="shared" si="4"/>
        <v>2022 год</v>
      </c>
      <c r="AM142" s="40">
        <f>1</f>
        <v>1</v>
      </c>
    </row>
    <row r="143" spans="1:39" x14ac:dyDescent="0.25">
      <c r="A143" s="587">
        <v>131</v>
      </c>
      <c r="B143" s="621" t="s">
        <v>765</v>
      </c>
      <c r="C143" s="100">
        <v>44588</v>
      </c>
      <c r="D143" s="578" t="s">
        <v>1179</v>
      </c>
      <c r="E143" s="578" t="s">
        <v>691</v>
      </c>
      <c r="F143" s="584" t="s">
        <v>1630</v>
      </c>
      <c r="G143" s="578" t="s">
        <v>692</v>
      </c>
      <c r="H143" s="584" t="s">
        <v>1631</v>
      </c>
      <c r="I143" s="98">
        <v>2623084471.5</v>
      </c>
      <c r="J143" s="264">
        <v>12795</v>
      </c>
      <c r="K143" s="264"/>
      <c r="L143" s="264"/>
      <c r="M143" s="264"/>
      <c r="N143" s="264"/>
      <c r="O143" s="100">
        <v>44607</v>
      </c>
      <c r="P143" s="578">
        <v>161</v>
      </c>
      <c r="Q143" s="578">
        <v>161</v>
      </c>
      <c r="R143" s="578">
        <v>24</v>
      </c>
      <c r="S143" s="100">
        <v>44483</v>
      </c>
      <c r="T143" s="112">
        <v>44909</v>
      </c>
      <c r="U143" s="112">
        <v>44999</v>
      </c>
      <c r="V143" s="112"/>
      <c r="W143" s="112"/>
      <c r="X143" s="112">
        <v>45225</v>
      </c>
      <c r="Y143" s="564">
        <v>43394192</v>
      </c>
      <c r="Z143" s="58" t="s">
        <v>605</v>
      </c>
      <c r="AA143" s="564"/>
      <c r="AB143" s="112" t="s">
        <v>680</v>
      </c>
      <c r="AC143" s="112"/>
      <c r="AD143" s="54">
        <v>84</v>
      </c>
      <c r="AE143" s="618"/>
      <c r="AF143" s="618"/>
      <c r="AG143" s="618"/>
      <c r="AH143" s="618"/>
      <c r="AI143" s="587" t="s">
        <v>1179</v>
      </c>
      <c r="AJ143" s="578" t="s">
        <v>1179</v>
      </c>
      <c r="AK143" s="40" t="str">
        <f t="shared" si="5"/>
        <v>2022 год</v>
      </c>
      <c r="AL143" s="40" t="str">
        <f t="shared" si="4"/>
        <v>2022 год</v>
      </c>
      <c r="AM143" s="40">
        <f>1</f>
        <v>1</v>
      </c>
    </row>
    <row r="144" spans="1:39" ht="31.5" x14ac:dyDescent="0.25">
      <c r="A144" s="575" t="s">
        <v>28</v>
      </c>
      <c r="B144" s="621" t="s">
        <v>1470</v>
      </c>
      <c r="C144" s="100">
        <v>44959</v>
      </c>
      <c r="D144" s="578" t="s">
        <v>1179</v>
      </c>
      <c r="E144" s="578" t="s">
        <v>691</v>
      </c>
      <c r="F144" s="584" t="s">
        <v>1630</v>
      </c>
      <c r="G144" s="578" t="s">
        <v>692</v>
      </c>
      <c r="H144" s="584" t="s">
        <v>1631</v>
      </c>
      <c r="I144" s="98">
        <v>2664473813.5</v>
      </c>
      <c r="J144" s="264">
        <v>12795</v>
      </c>
      <c r="K144" s="264"/>
      <c r="L144" s="264"/>
      <c r="M144" s="264"/>
      <c r="N144" s="264"/>
      <c r="O144" s="100">
        <v>44607</v>
      </c>
      <c r="P144" s="578">
        <v>161</v>
      </c>
      <c r="Q144" s="578">
        <v>161</v>
      </c>
      <c r="R144" s="578">
        <v>24</v>
      </c>
      <c r="S144" s="100">
        <v>44483</v>
      </c>
      <c r="T144" s="112">
        <v>44999</v>
      </c>
      <c r="U144" s="112"/>
      <c r="V144" s="112"/>
      <c r="W144" s="112"/>
      <c r="X144" s="112">
        <v>44936</v>
      </c>
      <c r="Y144" s="564">
        <v>-17163346</v>
      </c>
      <c r="Z144" s="58" t="s">
        <v>2344</v>
      </c>
      <c r="AA144" s="564">
        <f>5287558285-2623084471.5</f>
        <v>2664473813.5</v>
      </c>
      <c r="AB144" s="112" t="s">
        <v>680</v>
      </c>
      <c r="AC144" s="112"/>
      <c r="AD144" s="54">
        <v>84</v>
      </c>
      <c r="AE144" s="618"/>
      <c r="AF144" s="618"/>
      <c r="AG144" s="618"/>
      <c r="AH144" s="618"/>
      <c r="AI144" s="587"/>
      <c r="AJ144" s="578" t="s">
        <v>1179</v>
      </c>
      <c r="AK144" s="40"/>
      <c r="AL144" s="40" t="str">
        <f t="shared" si="4"/>
        <v>2022 год</v>
      </c>
      <c r="AM144" s="40"/>
    </row>
    <row r="145" spans="1:39" x14ac:dyDescent="0.25">
      <c r="A145" s="587">
        <v>132</v>
      </c>
      <c r="B145" s="621" t="s">
        <v>812</v>
      </c>
      <c r="C145" s="100">
        <v>44495</v>
      </c>
      <c r="D145" s="578" t="s">
        <v>1179</v>
      </c>
      <c r="E145" s="578" t="s">
        <v>2114</v>
      </c>
      <c r="F145" s="584" t="s">
        <v>2115</v>
      </c>
      <c r="G145" s="578" t="s">
        <v>735</v>
      </c>
      <c r="H145" s="584" t="s">
        <v>2175</v>
      </c>
      <c r="I145" s="98">
        <v>4189841202</v>
      </c>
      <c r="J145" s="264">
        <v>24087.8</v>
      </c>
      <c r="K145" s="264">
        <v>15390.1</v>
      </c>
      <c r="L145" s="264">
        <v>1887.3</v>
      </c>
      <c r="M145" s="264">
        <v>174</v>
      </c>
      <c r="N145" s="264">
        <v>311</v>
      </c>
      <c r="O145" s="100">
        <v>44505</v>
      </c>
      <c r="P145" s="578">
        <v>222</v>
      </c>
      <c r="Q145" s="578">
        <v>222</v>
      </c>
      <c r="R145" s="578" t="s">
        <v>193</v>
      </c>
      <c r="S145" s="100">
        <v>44222</v>
      </c>
      <c r="T145" s="112">
        <v>44681</v>
      </c>
      <c r="U145" s="112">
        <v>44772</v>
      </c>
      <c r="V145" s="112">
        <v>44864</v>
      </c>
      <c r="W145" s="112">
        <v>44956</v>
      </c>
      <c r="X145" s="112">
        <v>44970</v>
      </c>
      <c r="Y145" s="564">
        <v>35541630</v>
      </c>
      <c r="Z145" s="58" t="s">
        <v>647</v>
      </c>
      <c r="AA145" s="564"/>
      <c r="AB145" s="112" t="s">
        <v>1282</v>
      </c>
      <c r="AC145" s="112"/>
      <c r="AD145" s="54">
        <v>71</v>
      </c>
      <c r="AE145" s="618"/>
      <c r="AF145" s="618"/>
      <c r="AG145" s="618"/>
      <c r="AH145" s="618"/>
      <c r="AI145" s="587" t="s">
        <v>1179</v>
      </c>
      <c r="AJ145" s="578" t="s">
        <v>1179</v>
      </c>
      <c r="AK145" s="40" t="str">
        <f t="shared" si="5"/>
        <v>2021 год</v>
      </c>
      <c r="AL145" s="40" t="str">
        <f t="shared" si="4"/>
        <v>2021 год</v>
      </c>
      <c r="AM145" s="40">
        <f>1</f>
        <v>1</v>
      </c>
    </row>
    <row r="146" spans="1:39" ht="31.5" x14ac:dyDescent="0.25">
      <c r="A146" s="587">
        <v>133</v>
      </c>
      <c r="B146" s="621" t="s">
        <v>1100</v>
      </c>
      <c r="C146" s="100">
        <v>44481</v>
      </c>
      <c r="D146" s="578" t="s">
        <v>1179</v>
      </c>
      <c r="E146" s="578" t="s">
        <v>716</v>
      </c>
      <c r="F146" s="580">
        <v>960340000376</v>
      </c>
      <c r="G146" s="578" t="s">
        <v>823</v>
      </c>
      <c r="H146" s="584" t="s">
        <v>2141</v>
      </c>
      <c r="I146" s="98">
        <v>4131946931</v>
      </c>
      <c r="J146" s="264">
        <v>17546.03</v>
      </c>
      <c r="K146" s="264"/>
      <c r="L146" s="264"/>
      <c r="M146" s="264"/>
      <c r="N146" s="264"/>
      <c r="O146" s="100">
        <v>44496</v>
      </c>
      <c r="P146" s="578">
        <v>118</v>
      </c>
      <c r="Q146" s="578">
        <v>118</v>
      </c>
      <c r="R146" s="578" t="s">
        <v>304</v>
      </c>
      <c r="S146" s="100">
        <v>44270</v>
      </c>
      <c r="T146" s="112">
        <v>44910</v>
      </c>
      <c r="U146" s="112">
        <v>45000</v>
      </c>
      <c r="V146" s="112"/>
      <c r="W146" s="112"/>
      <c r="X146" s="112">
        <v>44998</v>
      </c>
      <c r="Y146" s="564">
        <v>36410669</v>
      </c>
      <c r="Z146" s="58" t="s">
        <v>2334</v>
      </c>
      <c r="AA146" s="564">
        <v>2181890130</v>
      </c>
      <c r="AB146" s="112" t="s">
        <v>599</v>
      </c>
      <c r="AC146" s="112"/>
      <c r="AD146" s="54">
        <v>74</v>
      </c>
      <c r="AE146" s="618"/>
      <c r="AF146" s="618"/>
      <c r="AG146" s="618"/>
      <c r="AH146" s="618"/>
      <c r="AI146" s="587" t="s">
        <v>1179</v>
      </c>
      <c r="AJ146" s="578" t="s">
        <v>1179</v>
      </c>
      <c r="AK146" s="40" t="str">
        <f t="shared" si="5"/>
        <v>2021 год</v>
      </c>
      <c r="AL146" s="40" t="str">
        <f t="shared" si="4"/>
        <v>2021 год</v>
      </c>
      <c r="AM146" s="40">
        <f>1</f>
        <v>1</v>
      </c>
    </row>
    <row r="147" spans="1:39" x14ac:dyDescent="0.25">
      <c r="A147" s="587">
        <v>134</v>
      </c>
      <c r="B147" s="621" t="s">
        <v>769</v>
      </c>
      <c r="C147" s="100">
        <v>44603</v>
      </c>
      <c r="D147" s="578" t="s">
        <v>452</v>
      </c>
      <c r="E147" s="591" t="s">
        <v>1567</v>
      </c>
      <c r="F147" s="582" t="s">
        <v>1648</v>
      </c>
      <c r="G147" s="578" t="s">
        <v>697</v>
      </c>
      <c r="H147" s="584" t="s">
        <v>2185</v>
      </c>
      <c r="I147" s="98">
        <v>2548284320</v>
      </c>
      <c r="J147" s="264">
        <v>19437.099999999999</v>
      </c>
      <c r="K147" s="264"/>
      <c r="L147" s="264"/>
      <c r="M147" s="264"/>
      <c r="N147" s="264"/>
      <c r="O147" s="100">
        <v>44624</v>
      </c>
      <c r="P147" s="578">
        <v>207</v>
      </c>
      <c r="Q147" s="578">
        <v>207</v>
      </c>
      <c r="R147" s="578">
        <v>9</v>
      </c>
      <c r="S147" s="100">
        <v>44539</v>
      </c>
      <c r="T147" s="112">
        <v>44904</v>
      </c>
      <c r="U147" s="112">
        <v>44994</v>
      </c>
      <c r="V147" s="112"/>
      <c r="W147" s="112"/>
      <c r="X147" s="112">
        <v>44979</v>
      </c>
      <c r="Y147" s="564">
        <v>25482843</v>
      </c>
      <c r="Z147" s="58" t="s">
        <v>608</v>
      </c>
      <c r="AA147" s="564"/>
      <c r="AB147" s="112" t="s">
        <v>598</v>
      </c>
      <c r="AC147" s="112"/>
      <c r="AD147" s="54">
        <v>100</v>
      </c>
      <c r="AE147" s="618"/>
      <c r="AF147" s="618"/>
      <c r="AG147" s="618"/>
      <c r="AH147" s="618"/>
      <c r="AI147" s="587" t="s">
        <v>452</v>
      </c>
      <c r="AJ147" s="578" t="s">
        <v>452</v>
      </c>
      <c r="AK147" s="40" t="str">
        <f t="shared" si="5"/>
        <v>2022 год</v>
      </c>
      <c r="AL147" s="40" t="str">
        <f t="shared" si="4"/>
        <v>2022 год</v>
      </c>
      <c r="AM147" s="40">
        <f>1</f>
        <v>1</v>
      </c>
    </row>
    <row r="148" spans="1:39" ht="31.5" x14ac:dyDescent="0.25">
      <c r="A148" s="587">
        <v>135</v>
      </c>
      <c r="B148" s="621" t="s">
        <v>767</v>
      </c>
      <c r="C148" s="100">
        <v>44588</v>
      </c>
      <c r="D148" s="578" t="s">
        <v>1179</v>
      </c>
      <c r="E148" s="578" t="s">
        <v>689</v>
      </c>
      <c r="F148" s="584" t="s">
        <v>1621</v>
      </c>
      <c r="G148" s="578" t="s">
        <v>719</v>
      </c>
      <c r="H148" s="584" t="s">
        <v>2211</v>
      </c>
      <c r="I148" s="98">
        <v>10967277322</v>
      </c>
      <c r="J148" s="264">
        <v>36026.400000000001</v>
      </c>
      <c r="K148" s="264"/>
      <c r="L148" s="264"/>
      <c r="M148" s="264"/>
      <c r="N148" s="264"/>
      <c r="O148" s="100">
        <v>44603</v>
      </c>
      <c r="P148" s="578">
        <v>304</v>
      </c>
      <c r="Q148" s="578">
        <v>304</v>
      </c>
      <c r="R148" s="578" t="s">
        <v>398</v>
      </c>
      <c r="S148" s="100">
        <v>44516</v>
      </c>
      <c r="T148" s="112">
        <v>44973</v>
      </c>
      <c r="U148" s="112">
        <v>45062</v>
      </c>
      <c r="V148" s="112"/>
      <c r="W148" s="112"/>
      <c r="X148" s="112">
        <v>45016</v>
      </c>
      <c r="Y148" s="564">
        <v>108547511</v>
      </c>
      <c r="Z148" s="58" t="s">
        <v>2330</v>
      </c>
      <c r="AA148" s="564"/>
      <c r="AB148" s="112" t="s">
        <v>1312</v>
      </c>
      <c r="AC148" s="112"/>
      <c r="AD148" s="54">
        <v>73</v>
      </c>
      <c r="AE148" s="618"/>
      <c r="AF148" s="618"/>
      <c r="AG148" s="618"/>
      <c r="AH148" s="618"/>
      <c r="AI148" s="587" t="s">
        <v>1179</v>
      </c>
      <c r="AJ148" s="578" t="s">
        <v>1179</v>
      </c>
      <c r="AK148" s="40" t="str">
        <f t="shared" si="5"/>
        <v>2022 год</v>
      </c>
      <c r="AL148" s="40" t="str">
        <f t="shared" si="4"/>
        <v>2022 год</v>
      </c>
      <c r="AM148" s="40">
        <f>1</f>
        <v>1</v>
      </c>
    </row>
    <row r="149" spans="1:39" x14ac:dyDescent="0.25">
      <c r="A149" s="587">
        <v>136</v>
      </c>
      <c r="B149" s="621" t="s">
        <v>1099</v>
      </c>
      <c r="C149" s="100">
        <v>44462</v>
      </c>
      <c r="D149" s="578" t="s">
        <v>1179</v>
      </c>
      <c r="E149" s="578" t="s">
        <v>689</v>
      </c>
      <c r="F149" s="584" t="s">
        <v>1621</v>
      </c>
      <c r="G149" s="578" t="s">
        <v>690</v>
      </c>
      <c r="H149" s="584" t="s">
        <v>2139</v>
      </c>
      <c r="I149" s="98">
        <v>4580426896</v>
      </c>
      <c r="J149" s="264">
        <v>24186.6</v>
      </c>
      <c r="K149" s="264">
        <v>15784.9</v>
      </c>
      <c r="L149" s="264">
        <v>1564.99</v>
      </c>
      <c r="M149" s="264">
        <v>189</v>
      </c>
      <c r="N149" s="264">
        <v>300</v>
      </c>
      <c r="O149" s="100">
        <v>44484</v>
      </c>
      <c r="P149" s="578">
        <v>287</v>
      </c>
      <c r="Q149" s="578">
        <v>287</v>
      </c>
      <c r="R149" s="578" t="s">
        <v>193</v>
      </c>
      <c r="S149" s="100">
        <v>44363</v>
      </c>
      <c r="T149" s="112">
        <v>44973</v>
      </c>
      <c r="U149" s="112">
        <v>45062</v>
      </c>
      <c r="V149" s="112"/>
      <c r="W149" s="112"/>
      <c r="X149" s="112">
        <v>45016</v>
      </c>
      <c r="Y149" s="564">
        <v>45466436.780000001</v>
      </c>
      <c r="Z149" s="58" t="s">
        <v>643</v>
      </c>
      <c r="AA149" s="564">
        <v>3954052790</v>
      </c>
      <c r="AB149" s="112" t="s">
        <v>599</v>
      </c>
      <c r="AC149" s="112"/>
      <c r="AD149" s="54">
        <v>73</v>
      </c>
      <c r="AE149" s="618"/>
      <c r="AF149" s="618"/>
      <c r="AG149" s="618"/>
      <c r="AH149" s="618"/>
      <c r="AI149" s="587" t="s">
        <v>1179</v>
      </c>
      <c r="AJ149" s="578" t="s">
        <v>1179</v>
      </c>
      <c r="AK149" s="40" t="str">
        <f t="shared" si="5"/>
        <v>2021 год</v>
      </c>
      <c r="AL149" s="40" t="str">
        <f t="shared" si="4"/>
        <v>2021 год</v>
      </c>
      <c r="AM149" s="40">
        <f>1</f>
        <v>1</v>
      </c>
    </row>
    <row r="150" spans="1:39" ht="31.5" x14ac:dyDescent="0.25">
      <c r="A150" s="587" t="s">
        <v>28</v>
      </c>
      <c r="B150" s="621" t="s">
        <v>1479</v>
      </c>
      <c r="C150" s="100">
        <v>44581</v>
      </c>
      <c r="D150" s="578" t="s">
        <v>1179</v>
      </c>
      <c r="E150" s="578" t="s">
        <v>689</v>
      </c>
      <c r="F150" s="584" t="s">
        <v>1621</v>
      </c>
      <c r="G150" s="578" t="s">
        <v>779</v>
      </c>
      <c r="H150" s="584" t="s">
        <v>2139</v>
      </c>
      <c r="I150" s="98">
        <v>269027742</v>
      </c>
      <c r="J150" s="264">
        <v>0</v>
      </c>
      <c r="K150" s="264"/>
      <c r="L150" s="264"/>
      <c r="M150" s="264"/>
      <c r="N150" s="264"/>
      <c r="O150" s="100">
        <v>44588</v>
      </c>
      <c r="P150" s="578">
        <v>0</v>
      </c>
      <c r="Q150" s="578">
        <v>0</v>
      </c>
      <c r="R150" s="578">
        <v>0</v>
      </c>
      <c r="S150" s="100">
        <v>44441</v>
      </c>
      <c r="T150" s="112">
        <v>45062</v>
      </c>
      <c r="U150" s="112"/>
      <c r="V150" s="112"/>
      <c r="W150" s="112"/>
      <c r="X150" s="112">
        <v>45016</v>
      </c>
      <c r="Y150" s="564">
        <v>2690277</v>
      </c>
      <c r="Z150" s="58" t="s">
        <v>2335</v>
      </c>
      <c r="AA150" s="564"/>
      <c r="AB150" s="112"/>
      <c r="AC150" s="112"/>
      <c r="AD150" s="54">
        <v>73</v>
      </c>
      <c r="AE150" s="618"/>
      <c r="AF150" s="618"/>
      <c r="AG150" s="618"/>
      <c r="AH150" s="618"/>
      <c r="AI150" s="587"/>
      <c r="AJ150" s="578" t="s">
        <v>1179</v>
      </c>
      <c r="AK150" s="40"/>
      <c r="AL150" s="40" t="str">
        <f t="shared" si="4"/>
        <v>2022 год</v>
      </c>
      <c r="AM150" s="40"/>
    </row>
    <row r="151" spans="1:39" x14ac:dyDescent="0.25">
      <c r="A151" s="587">
        <v>137</v>
      </c>
      <c r="B151" s="621" t="s">
        <v>1351</v>
      </c>
      <c r="C151" s="100">
        <v>44455</v>
      </c>
      <c r="D151" s="578" t="s">
        <v>753</v>
      </c>
      <c r="E151" s="578" t="s">
        <v>734</v>
      </c>
      <c r="F151" s="584" t="s">
        <v>2098</v>
      </c>
      <c r="G151" s="578" t="s">
        <v>1547</v>
      </c>
      <c r="H151" s="584" t="s">
        <v>2152</v>
      </c>
      <c r="I151" s="98">
        <v>8144475097</v>
      </c>
      <c r="J151" s="264">
        <v>30114.38</v>
      </c>
      <c r="K151" s="264">
        <v>23000.39</v>
      </c>
      <c r="L151" s="264">
        <v>628.36</v>
      </c>
      <c r="M151" s="264">
        <v>332</v>
      </c>
      <c r="N151" s="264">
        <v>500</v>
      </c>
      <c r="O151" s="100">
        <v>44463</v>
      </c>
      <c r="P151" s="578">
        <v>323</v>
      </c>
      <c r="Q151" s="578">
        <v>323</v>
      </c>
      <c r="R151" s="578">
        <v>12</v>
      </c>
      <c r="S151" s="100">
        <v>44377</v>
      </c>
      <c r="T151" s="112">
        <v>45137</v>
      </c>
      <c r="U151" s="112"/>
      <c r="V151" s="112"/>
      <c r="W151" s="112"/>
      <c r="X151" s="112">
        <v>45048</v>
      </c>
      <c r="Y151" s="564"/>
      <c r="Z151" s="58" t="s">
        <v>631</v>
      </c>
      <c r="AA151" s="564">
        <f>6918499189+252978993</f>
        <v>7171478182</v>
      </c>
      <c r="AB151" s="112" t="s">
        <v>607</v>
      </c>
      <c r="AC151" s="112"/>
      <c r="AD151" s="54">
        <v>92</v>
      </c>
      <c r="AE151" s="618"/>
      <c r="AF151" s="618"/>
      <c r="AG151" s="618"/>
      <c r="AH151" s="618"/>
      <c r="AI151" s="587" t="s">
        <v>23</v>
      </c>
      <c r="AJ151" s="578" t="s">
        <v>23</v>
      </c>
      <c r="AK151" s="40" t="str">
        <f t="shared" si="5"/>
        <v>2021 год</v>
      </c>
      <c r="AL151" s="40" t="str">
        <f t="shared" si="4"/>
        <v>2021 год</v>
      </c>
      <c r="AM151" s="40">
        <f>1</f>
        <v>1</v>
      </c>
    </row>
    <row r="152" spans="1:39" x14ac:dyDescent="0.25">
      <c r="A152" s="587">
        <v>138</v>
      </c>
      <c r="B152" s="621" t="s">
        <v>797</v>
      </c>
      <c r="C152" s="100">
        <v>44313</v>
      </c>
      <c r="D152" s="578" t="s">
        <v>1179</v>
      </c>
      <c r="E152" s="578" t="s">
        <v>827</v>
      </c>
      <c r="F152" s="584" t="s">
        <v>1632</v>
      </c>
      <c r="G152" s="578" t="s">
        <v>818</v>
      </c>
      <c r="H152" s="584" t="s">
        <v>2122</v>
      </c>
      <c r="I152" s="98">
        <v>2394747276</v>
      </c>
      <c r="J152" s="264">
        <v>15182.7</v>
      </c>
      <c r="K152" s="264"/>
      <c r="L152" s="264"/>
      <c r="M152" s="264"/>
      <c r="N152" s="264"/>
      <c r="O152" s="100">
        <v>44336</v>
      </c>
      <c r="P152" s="578">
        <v>102</v>
      </c>
      <c r="Q152" s="578">
        <v>102</v>
      </c>
      <c r="R152" s="578">
        <v>18</v>
      </c>
      <c r="S152" s="100">
        <v>44236</v>
      </c>
      <c r="T152" s="112">
        <v>44904</v>
      </c>
      <c r="U152" s="112">
        <v>44994</v>
      </c>
      <c r="V152" s="112">
        <v>45086</v>
      </c>
      <c r="W152" s="112">
        <v>45086</v>
      </c>
      <c r="X152" s="112">
        <v>45049</v>
      </c>
      <c r="Y152" s="564">
        <v>23442931</v>
      </c>
      <c r="Z152" s="58" t="s">
        <v>626</v>
      </c>
      <c r="AA152" s="564"/>
      <c r="AB152" s="112" t="s">
        <v>594</v>
      </c>
      <c r="AC152" s="112"/>
      <c r="AD152" s="54">
        <v>89</v>
      </c>
      <c r="AE152" s="618"/>
      <c r="AF152" s="618"/>
      <c r="AG152" s="618"/>
      <c r="AH152" s="618"/>
      <c r="AI152" s="587" t="s">
        <v>1179</v>
      </c>
      <c r="AJ152" s="578" t="s">
        <v>1179</v>
      </c>
      <c r="AK152" s="40" t="str">
        <f t="shared" si="5"/>
        <v>2021 год</v>
      </c>
      <c r="AL152" s="40" t="str">
        <f t="shared" si="4"/>
        <v>2021 год</v>
      </c>
      <c r="AM152" s="40">
        <f>1</f>
        <v>1</v>
      </c>
    </row>
    <row r="153" spans="1:39" x14ac:dyDescent="0.25">
      <c r="A153" s="587">
        <v>139</v>
      </c>
      <c r="B153" s="621" t="s">
        <v>800</v>
      </c>
      <c r="C153" s="100">
        <v>44355</v>
      </c>
      <c r="D153" s="578" t="s">
        <v>174</v>
      </c>
      <c r="E153" s="578" t="s">
        <v>693</v>
      </c>
      <c r="F153" s="584" t="s">
        <v>1643</v>
      </c>
      <c r="G153" s="578" t="s">
        <v>724</v>
      </c>
      <c r="H153" s="584" t="s">
        <v>2032</v>
      </c>
      <c r="I153" s="98">
        <v>7032122117</v>
      </c>
      <c r="J153" s="264">
        <v>22629.3</v>
      </c>
      <c r="K153" s="264"/>
      <c r="L153" s="264"/>
      <c r="M153" s="264"/>
      <c r="N153" s="264"/>
      <c r="O153" s="100">
        <v>44364</v>
      </c>
      <c r="P153" s="578">
        <v>306</v>
      </c>
      <c r="Q153" s="578">
        <v>306</v>
      </c>
      <c r="R153" s="578">
        <v>9</v>
      </c>
      <c r="S153" s="100">
        <v>44309</v>
      </c>
      <c r="T153" s="112">
        <v>44796</v>
      </c>
      <c r="U153" s="112">
        <v>44888</v>
      </c>
      <c r="V153" s="112">
        <v>44980</v>
      </c>
      <c r="W153" s="112">
        <v>45069</v>
      </c>
      <c r="X153" s="112">
        <v>45058</v>
      </c>
      <c r="Y153" s="564">
        <v>70321221</v>
      </c>
      <c r="Z153" s="58" t="s">
        <v>629</v>
      </c>
      <c r="AA153" s="564"/>
      <c r="AB153" s="112" t="s">
        <v>599</v>
      </c>
      <c r="AC153" s="112"/>
      <c r="AD153" s="54">
        <v>68</v>
      </c>
      <c r="AE153" s="618"/>
      <c r="AF153" s="618"/>
      <c r="AG153" s="618"/>
      <c r="AH153" s="618"/>
      <c r="AI153" s="587" t="s">
        <v>174</v>
      </c>
      <c r="AJ153" s="578" t="s">
        <v>174</v>
      </c>
      <c r="AK153" s="40" t="str">
        <f t="shared" si="5"/>
        <v>2021 год</v>
      </c>
      <c r="AL153" s="40" t="str">
        <f t="shared" si="4"/>
        <v>2021 год</v>
      </c>
      <c r="AM153" s="40">
        <f>1</f>
        <v>1</v>
      </c>
    </row>
    <row r="154" spans="1:39" x14ac:dyDescent="0.25">
      <c r="A154" s="576" t="s">
        <v>28</v>
      </c>
      <c r="B154" s="623" t="s">
        <v>1977</v>
      </c>
      <c r="C154" s="549">
        <v>44502</v>
      </c>
      <c r="D154" s="593" t="s">
        <v>176</v>
      </c>
      <c r="E154" s="593" t="s">
        <v>737</v>
      </c>
      <c r="F154" s="594" t="s">
        <v>2105</v>
      </c>
      <c r="G154" s="593" t="s">
        <v>738</v>
      </c>
      <c r="H154" s="594" t="s">
        <v>2154</v>
      </c>
      <c r="I154" s="550">
        <f>1888729449</f>
        <v>1888729449</v>
      </c>
      <c r="J154" s="547">
        <f>8308.3</f>
        <v>8308.2999999999993</v>
      </c>
      <c r="K154" s="547">
        <v>78087.06</v>
      </c>
      <c r="L154" s="547"/>
      <c r="M154" s="547">
        <v>230</v>
      </c>
      <c r="N154" s="547">
        <v>296</v>
      </c>
      <c r="O154" s="549">
        <v>44526</v>
      </c>
      <c r="P154" s="593">
        <f>54</f>
        <v>54</v>
      </c>
      <c r="Q154" s="593">
        <f>54</f>
        <v>54</v>
      </c>
      <c r="R154" s="593">
        <v>9</v>
      </c>
      <c r="S154" s="549">
        <v>44244</v>
      </c>
      <c r="T154" s="595">
        <v>44805</v>
      </c>
      <c r="U154" s="595">
        <v>44896</v>
      </c>
      <c r="V154" s="595">
        <v>44986</v>
      </c>
      <c r="W154" s="595">
        <v>45078</v>
      </c>
      <c r="X154" s="595">
        <v>45062</v>
      </c>
      <c r="Y154" s="546"/>
      <c r="Z154" s="553" t="s">
        <v>649</v>
      </c>
      <c r="AA154" s="546"/>
      <c r="AB154" s="595" t="s">
        <v>681</v>
      </c>
      <c r="AC154" s="595"/>
      <c r="AD154" s="596">
        <v>84</v>
      </c>
      <c r="AE154" s="630"/>
      <c r="AF154" s="630"/>
      <c r="AG154" s="630"/>
      <c r="AH154" s="630"/>
      <c r="AI154" s="587"/>
      <c r="AJ154" s="578" t="s">
        <v>176</v>
      </c>
      <c r="AK154" s="40"/>
      <c r="AL154" s="40" t="str">
        <f t="shared" si="4"/>
        <v>2021 год</v>
      </c>
      <c r="AM154" s="40"/>
    </row>
    <row r="155" spans="1:39" x14ac:dyDescent="0.25">
      <c r="A155" s="587">
        <v>140</v>
      </c>
      <c r="B155" s="621" t="s">
        <v>1523</v>
      </c>
      <c r="C155" s="100">
        <v>44273</v>
      </c>
      <c r="D155" s="578" t="s">
        <v>1179</v>
      </c>
      <c r="E155" s="578" t="s">
        <v>695</v>
      </c>
      <c r="F155" s="580">
        <v>960340000376</v>
      </c>
      <c r="G155" s="578" t="s">
        <v>816</v>
      </c>
      <c r="H155" s="584" t="s">
        <v>2186</v>
      </c>
      <c r="I155" s="98">
        <v>3158014308</v>
      </c>
      <c r="J155" s="264">
        <v>20590.2</v>
      </c>
      <c r="K155" s="264">
        <v>12798.4</v>
      </c>
      <c r="L155" s="264">
        <v>2031.1</v>
      </c>
      <c r="M155" s="264">
        <v>153</v>
      </c>
      <c r="N155" s="264">
        <v>340</v>
      </c>
      <c r="O155" s="100">
        <v>44295</v>
      </c>
      <c r="P155" s="578">
        <v>94</v>
      </c>
      <c r="Q155" s="578">
        <v>94</v>
      </c>
      <c r="R155" s="578">
        <v>8</v>
      </c>
      <c r="S155" s="100">
        <v>44224</v>
      </c>
      <c r="T155" s="112">
        <v>44832</v>
      </c>
      <c r="U155" s="112">
        <v>44923</v>
      </c>
      <c r="V155" s="112">
        <v>45013</v>
      </c>
      <c r="W155" s="112">
        <v>45105</v>
      </c>
      <c r="X155" s="112">
        <v>45078</v>
      </c>
      <c r="Y155" s="564">
        <v>31148273</v>
      </c>
      <c r="Z155" s="58" t="s">
        <v>619</v>
      </c>
      <c r="AA155" s="564">
        <v>1817522338</v>
      </c>
      <c r="AB155" s="112" t="s">
        <v>607</v>
      </c>
      <c r="AC155" s="112"/>
      <c r="AD155" s="54">
        <v>84</v>
      </c>
      <c r="AE155" s="618"/>
      <c r="AF155" s="618"/>
      <c r="AG155" s="618"/>
      <c r="AH155" s="618"/>
      <c r="AI155" s="587" t="s">
        <v>1179</v>
      </c>
      <c r="AJ155" s="578" t="s">
        <v>1179</v>
      </c>
      <c r="AK155" s="40" t="str">
        <f t="shared" si="5"/>
        <v>2021 год</v>
      </c>
      <c r="AL155" s="40" t="str">
        <f t="shared" si="4"/>
        <v>2021 год</v>
      </c>
      <c r="AM155" s="40">
        <f>1</f>
        <v>1</v>
      </c>
    </row>
    <row r="156" spans="1:39" x14ac:dyDescent="0.25">
      <c r="A156" s="587">
        <v>141</v>
      </c>
      <c r="B156" s="621" t="s">
        <v>814</v>
      </c>
      <c r="C156" s="100">
        <v>44467</v>
      </c>
      <c r="D156" s="578" t="s">
        <v>753</v>
      </c>
      <c r="E156" s="578" t="s">
        <v>725</v>
      </c>
      <c r="F156" s="584" t="s">
        <v>2098</v>
      </c>
      <c r="G156" s="578" t="s">
        <v>822</v>
      </c>
      <c r="H156" s="584" t="s">
        <v>2155</v>
      </c>
      <c r="I156" s="98">
        <v>3392109393</v>
      </c>
      <c r="J156" s="264">
        <v>11238.23</v>
      </c>
      <c r="K156" s="264">
        <v>8813.24</v>
      </c>
      <c r="L156" s="264"/>
      <c r="M156" s="264">
        <v>302</v>
      </c>
      <c r="N156" s="264">
        <v>390</v>
      </c>
      <c r="O156" s="100">
        <v>44491</v>
      </c>
      <c r="P156" s="578">
        <v>156</v>
      </c>
      <c r="Q156" s="578">
        <v>158</v>
      </c>
      <c r="R156" s="578">
        <v>16</v>
      </c>
      <c r="S156" s="100">
        <v>44423</v>
      </c>
      <c r="T156" s="112">
        <v>44819</v>
      </c>
      <c r="U156" s="112">
        <v>44910</v>
      </c>
      <c r="V156" s="112">
        <v>45000</v>
      </c>
      <c r="W156" s="112">
        <v>45092</v>
      </c>
      <c r="X156" s="112">
        <v>45180</v>
      </c>
      <c r="Y156" s="564">
        <v>33591007</v>
      </c>
      <c r="Z156" s="58" t="s">
        <v>644</v>
      </c>
      <c r="AA156" s="564">
        <v>2908674188</v>
      </c>
      <c r="AB156" s="112" t="s">
        <v>680</v>
      </c>
      <c r="AC156" s="112"/>
      <c r="AD156" s="54">
        <v>92</v>
      </c>
      <c r="AE156" s="618"/>
      <c r="AF156" s="618"/>
      <c r="AG156" s="618"/>
      <c r="AH156" s="618"/>
      <c r="AI156" s="587" t="s">
        <v>23</v>
      </c>
      <c r="AJ156" s="578" t="s">
        <v>23</v>
      </c>
      <c r="AK156" s="40" t="str">
        <f t="shared" si="5"/>
        <v>2021 год</v>
      </c>
      <c r="AL156" s="40" t="str">
        <f t="shared" si="4"/>
        <v>2021 год</v>
      </c>
      <c r="AM156" s="40">
        <f>1</f>
        <v>1</v>
      </c>
    </row>
    <row r="157" spans="1:39" ht="31.5" x14ac:dyDescent="0.25">
      <c r="A157" s="587">
        <v>142</v>
      </c>
      <c r="B157" s="621" t="s">
        <v>1094</v>
      </c>
      <c r="C157" s="100">
        <v>44355</v>
      </c>
      <c r="D157" s="578" t="s">
        <v>176</v>
      </c>
      <c r="E157" s="578" t="s">
        <v>722</v>
      </c>
      <c r="F157" s="584" t="s">
        <v>1644</v>
      </c>
      <c r="G157" s="578" t="s">
        <v>723</v>
      </c>
      <c r="H157" s="584" t="s">
        <v>2148</v>
      </c>
      <c r="I157" s="98">
        <v>5405809863</v>
      </c>
      <c r="J157" s="264">
        <v>42064.2</v>
      </c>
      <c r="K157" s="264">
        <v>25494.799999999999</v>
      </c>
      <c r="L157" s="264">
        <v>3251.2</v>
      </c>
      <c r="M157" s="264">
        <v>128</v>
      </c>
      <c r="N157" s="264">
        <v>280</v>
      </c>
      <c r="O157" s="100">
        <v>44377</v>
      </c>
      <c r="P157" s="578">
        <v>440</v>
      </c>
      <c r="Q157" s="578">
        <v>495</v>
      </c>
      <c r="R157" s="578">
        <v>9</v>
      </c>
      <c r="S157" s="100">
        <v>44320</v>
      </c>
      <c r="T157" s="112">
        <v>44838</v>
      </c>
      <c r="U157" s="112">
        <v>44930</v>
      </c>
      <c r="V157" s="112">
        <v>45020</v>
      </c>
      <c r="W157" s="112">
        <v>45111</v>
      </c>
      <c r="X157" s="112">
        <v>45103</v>
      </c>
      <c r="Y157" s="564">
        <v>48636740</v>
      </c>
      <c r="Z157" s="58" t="s">
        <v>2336</v>
      </c>
      <c r="AA157" s="564"/>
      <c r="AB157" s="112" t="s">
        <v>599</v>
      </c>
      <c r="AC157" s="112"/>
      <c r="AD157" s="54">
        <v>70</v>
      </c>
      <c r="AE157" s="618"/>
      <c r="AF157" s="618"/>
      <c r="AG157" s="618"/>
      <c r="AH157" s="618"/>
      <c r="AI157" s="587" t="s">
        <v>176</v>
      </c>
      <c r="AJ157" s="578" t="s">
        <v>176</v>
      </c>
      <c r="AK157" s="40" t="str">
        <f t="shared" si="5"/>
        <v>2021 год</v>
      </c>
      <c r="AL157" s="40" t="str">
        <f t="shared" si="4"/>
        <v>2021 год</v>
      </c>
      <c r="AM157" s="40">
        <f>1</f>
        <v>1</v>
      </c>
    </row>
    <row r="158" spans="1:39" x14ac:dyDescent="0.25">
      <c r="A158" s="587" t="s">
        <v>28</v>
      </c>
      <c r="B158" s="621" t="s">
        <v>1552</v>
      </c>
      <c r="C158" s="100">
        <v>44504</v>
      </c>
      <c r="D158" s="578" t="s">
        <v>369</v>
      </c>
      <c r="E158" s="578" t="s">
        <v>740</v>
      </c>
      <c r="F158" s="584" t="s">
        <v>1644</v>
      </c>
      <c r="G158" s="578" t="s">
        <v>741</v>
      </c>
      <c r="H158" s="584" t="s">
        <v>2149</v>
      </c>
      <c r="I158" s="98">
        <v>5649266960</v>
      </c>
      <c r="J158" s="264">
        <v>35758.5</v>
      </c>
      <c r="K158" s="264">
        <v>30473.25</v>
      </c>
      <c r="L158" s="264"/>
      <c r="M158" s="264">
        <v>154</v>
      </c>
      <c r="N158" s="264">
        <v>179</v>
      </c>
      <c r="O158" s="100">
        <v>44523</v>
      </c>
      <c r="P158" s="578">
        <v>480</v>
      </c>
      <c r="Q158" s="578">
        <v>471</v>
      </c>
      <c r="R158" s="578">
        <v>5</v>
      </c>
      <c r="S158" s="100">
        <v>44370</v>
      </c>
      <c r="T158" s="112">
        <v>45434</v>
      </c>
      <c r="U158" s="112"/>
      <c r="V158" s="112"/>
      <c r="W158" s="112"/>
      <c r="X158" s="112">
        <v>45117</v>
      </c>
      <c r="Y158" s="564">
        <v>116526220</v>
      </c>
      <c r="Z158" s="58" t="s">
        <v>650</v>
      </c>
      <c r="AA158" s="564"/>
      <c r="AB158" s="112" t="s">
        <v>598</v>
      </c>
      <c r="AC158" s="112"/>
      <c r="AD158" s="54">
        <v>80</v>
      </c>
      <c r="AE158" s="618"/>
      <c r="AF158" s="618"/>
      <c r="AG158" s="618"/>
      <c r="AH158" s="618"/>
      <c r="AI158" s="587"/>
      <c r="AJ158" s="578" t="s">
        <v>369</v>
      </c>
      <c r="AK158" s="40"/>
      <c r="AL158" s="40" t="str">
        <f t="shared" si="4"/>
        <v>2021 год</v>
      </c>
      <c r="AM158" s="40"/>
    </row>
    <row r="159" spans="1:39" x14ac:dyDescent="0.25">
      <c r="A159" s="587">
        <v>143</v>
      </c>
      <c r="B159" s="621" t="s">
        <v>1530</v>
      </c>
      <c r="C159" s="100">
        <v>44078</v>
      </c>
      <c r="D159" s="578" t="s">
        <v>753</v>
      </c>
      <c r="E159" s="578" t="s">
        <v>701</v>
      </c>
      <c r="F159" s="584" t="s">
        <v>2104</v>
      </c>
      <c r="G159" s="578" t="s">
        <v>1754</v>
      </c>
      <c r="H159" s="584" t="s">
        <v>2188</v>
      </c>
      <c r="I159" s="98">
        <v>6150332110</v>
      </c>
      <c r="J159" s="264">
        <v>34788.65</v>
      </c>
      <c r="K159" s="264">
        <v>14930.33</v>
      </c>
      <c r="L159" s="264"/>
      <c r="M159" s="264">
        <v>227</v>
      </c>
      <c r="N159" s="264">
        <v>415</v>
      </c>
      <c r="O159" s="100">
        <v>44091</v>
      </c>
      <c r="P159" s="578">
        <v>224</v>
      </c>
      <c r="Q159" s="578">
        <v>236</v>
      </c>
      <c r="R159" s="578">
        <v>17.18</v>
      </c>
      <c r="S159" s="100">
        <v>44055</v>
      </c>
      <c r="T159" s="112">
        <v>44846</v>
      </c>
      <c r="U159" s="112">
        <v>44938</v>
      </c>
      <c r="V159" s="112">
        <v>45028</v>
      </c>
      <c r="W159" s="112">
        <v>45119</v>
      </c>
      <c r="X159" s="112">
        <v>45118</v>
      </c>
      <c r="Y159" s="564">
        <v>110320752</v>
      </c>
      <c r="Z159" s="58" t="s">
        <v>1081</v>
      </c>
      <c r="AA159" s="564"/>
      <c r="AB159" s="112" t="s">
        <v>594</v>
      </c>
      <c r="AC159" s="112"/>
      <c r="AD159" s="54">
        <v>69</v>
      </c>
      <c r="AE159" s="618"/>
      <c r="AF159" s="618"/>
      <c r="AG159" s="618"/>
      <c r="AH159" s="618"/>
      <c r="AI159" s="587" t="s">
        <v>23</v>
      </c>
      <c r="AJ159" s="578" t="s">
        <v>23</v>
      </c>
      <c r="AK159" s="40" t="str">
        <f t="shared" si="5"/>
        <v>2020 год</v>
      </c>
      <c r="AL159" s="40" t="str">
        <f t="shared" si="4"/>
        <v>2020 год</v>
      </c>
      <c r="AM159" s="40">
        <f>1</f>
        <v>1</v>
      </c>
    </row>
    <row r="160" spans="1:39" ht="31.5" x14ac:dyDescent="0.25">
      <c r="A160" s="587" t="s">
        <v>28</v>
      </c>
      <c r="B160" s="621" t="s">
        <v>1531</v>
      </c>
      <c r="C160" s="100">
        <v>44663</v>
      </c>
      <c r="D160" s="578" t="s">
        <v>753</v>
      </c>
      <c r="E160" s="578" t="s">
        <v>701</v>
      </c>
      <c r="F160" s="584" t="s">
        <v>2104</v>
      </c>
      <c r="G160" s="578" t="s">
        <v>1754</v>
      </c>
      <c r="H160" s="584" t="s">
        <v>2188</v>
      </c>
      <c r="I160" s="98">
        <v>2346373661</v>
      </c>
      <c r="J160" s="264">
        <v>0</v>
      </c>
      <c r="K160" s="264"/>
      <c r="L160" s="264"/>
      <c r="M160" s="264"/>
      <c r="N160" s="264"/>
      <c r="O160" s="100">
        <v>44673</v>
      </c>
      <c r="P160" s="578">
        <v>0</v>
      </c>
      <c r="Q160" s="578">
        <v>0</v>
      </c>
      <c r="R160" s="578" t="s">
        <v>28</v>
      </c>
      <c r="S160" s="100">
        <v>44055</v>
      </c>
      <c r="T160" s="112">
        <v>44846</v>
      </c>
      <c r="U160" s="112">
        <v>44938</v>
      </c>
      <c r="V160" s="112">
        <v>45028</v>
      </c>
      <c r="W160" s="112">
        <v>45119</v>
      </c>
      <c r="X160" s="112">
        <v>45118</v>
      </c>
      <c r="Y160" s="564">
        <v>23463737</v>
      </c>
      <c r="Z160" s="58" t="s">
        <v>2337</v>
      </c>
      <c r="AA160" s="564"/>
      <c r="AB160" s="112" t="s">
        <v>594</v>
      </c>
      <c r="AC160" s="112"/>
      <c r="AD160" s="54">
        <v>69</v>
      </c>
      <c r="AE160" s="618"/>
      <c r="AF160" s="618"/>
      <c r="AG160" s="618"/>
      <c r="AH160" s="618"/>
      <c r="AI160" s="587"/>
      <c r="AJ160" s="578" t="s">
        <v>23</v>
      </c>
      <c r="AK160" s="40"/>
      <c r="AL160" s="40" t="str">
        <f t="shared" si="4"/>
        <v>2022 год</v>
      </c>
      <c r="AM160" s="40"/>
    </row>
    <row r="161" spans="1:39" ht="31.5" x14ac:dyDescent="0.25">
      <c r="A161" s="587">
        <v>144</v>
      </c>
      <c r="B161" s="621" t="s">
        <v>768</v>
      </c>
      <c r="C161" s="100">
        <v>44596</v>
      </c>
      <c r="D161" s="578" t="s">
        <v>1179</v>
      </c>
      <c r="E161" s="578" t="s">
        <v>716</v>
      </c>
      <c r="F161" s="580">
        <v>960340000376</v>
      </c>
      <c r="G161" s="578" t="s">
        <v>780</v>
      </c>
      <c r="H161" s="584" t="s">
        <v>2166</v>
      </c>
      <c r="I161" s="98">
        <v>6818945553</v>
      </c>
      <c r="J161" s="264">
        <v>33535.279999999999</v>
      </c>
      <c r="K161" s="264">
        <v>22066.22</v>
      </c>
      <c r="L161" s="264">
        <v>2697.99</v>
      </c>
      <c r="M161" s="264">
        <v>203</v>
      </c>
      <c r="N161" s="264">
        <v>309</v>
      </c>
      <c r="O161" s="100">
        <v>44613</v>
      </c>
      <c r="P161" s="578">
        <v>308</v>
      </c>
      <c r="Q161" s="578">
        <v>308</v>
      </c>
      <c r="R161" s="578" t="s">
        <v>53</v>
      </c>
      <c r="S161" s="100">
        <v>44550</v>
      </c>
      <c r="T161" s="112">
        <v>45170</v>
      </c>
      <c r="U161" s="112"/>
      <c r="V161" s="112"/>
      <c r="W161" s="112"/>
      <c r="X161" s="112">
        <v>45160</v>
      </c>
      <c r="Y161" s="564">
        <v>67879636</v>
      </c>
      <c r="Z161" s="58" t="s">
        <v>1109</v>
      </c>
      <c r="AA161" s="564">
        <v>6787963658</v>
      </c>
      <c r="AB161" s="112" t="s">
        <v>607</v>
      </c>
      <c r="AC161" s="112"/>
      <c r="AD161" s="54">
        <v>74</v>
      </c>
      <c r="AE161" s="618"/>
      <c r="AF161" s="618"/>
      <c r="AG161" s="618"/>
      <c r="AH161" s="618"/>
      <c r="AI161" s="587" t="s">
        <v>1179</v>
      </c>
      <c r="AJ161" s="578" t="s">
        <v>1179</v>
      </c>
      <c r="AK161" s="40" t="str">
        <f t="shared" si="5"/>
        <v>2022 год</v>
      </c>
      <c r="AL161" s="40" t="str">
        <f t="shared" si="4"/>
        <v>2022 год</v>
      </c>
      <c r="AM161" s="40">
        <f>1</f>
        <v>1</v>
      </c>
    </row>
    <row r="162" spans="1:39" x14ac:dyDescent="0.25">
      <c r="A162" s="587">
        <v>145</v>
      </c>
      <c r="B162" s="621" t="s">
        <v>801</v>
      </c>
      <c r="C162" s="100">
        <v>44378</v>
      </c>
      <c r="D162" s="578" t="s">
        <v>753</v>
      </c>
      <c r="E162" s="578" t="s">
        <v>725</v>
      </c>
      <c r="F162" s="584" t="s">
        <v>2098</v>
      </c>
      <c r="G162" s="578" t="s">
        <v>726</v>
      </c>
      <c r="H162" s="584" t="s">
        <v>2176</v>
      </c>
      <c r="I162" s="98">
        <v>5041329922</v>
      </c>
      <c r="J162" s="264">
        <v>21860.5</v>
      </c>
      <c r="K162" s="264">
        <v>15261.71</v>
      </c>
      <c r="L162" s="264">
        <v>911.39</v>
      </c>
      <c r="M162" s="264">
        <v>231</v>
      </c>
      <c r="N162" s="264">
        <v>330</v>
      </c>
      <c r="O162" s="100">
        <v>44392</v>
      </c>
      <c r="P162" s="578">
        <v>237</v>
      </c>
      <c r="Q162" s="578">
        <v>237</v>
      </c>
      <c r="R162" s="578">
        <v>17</v>
      </c>
      <c r="S162" s="100">
        <v>44341</v>
      </c>
      <c r="T162" s="112">
        <v>44982</v>
      </c>
      <c r="U162" s="112">
        <v>45071</v>
      </c>
      <c r="V162" s="112">
        <v>45163</v>
      </c>
      <c r="W162" s="112"/>
      <c r="X162" s="112">
        <v>45163</v>
      </c>
      <c r="Y162" s="564">
        <v>49883864</v>
      </c>
      <c r="Z162" s="58" t="s">
        <v>631</v>
      </c>
      <c r="AA162" s="564">
        <v>4328616644</v>
      </c>
      <c r="AB162" s="112" t="s">
        <v>607</v>
      </c>
      <c r="AC162" s="112"/>
      <c r="AD162" s="54">
        <v>92</v>
      </c>
      <c r="AE162" s="618"/>
      <c r="AF162" s="618"/>
      <c r="AG162" s="618"/>
      <c r="AH162" s="618"/>
      <c r="AI162" s="587" t="s">
        <v>23</v>
      </c>
      <c r="AJ162" s="578" t="s">
        <v>23</v>
      </c>
      <c r="AK162" s="40" t="str">
        <f t="shared" si="5"/>
        <v>2021 год</v>
      </c>
      <c r="AL162" s="40" t="str">
        <f t="shared" si="4"/>
        <v>2021 год</v>
      </c>
      <c r="AM162" s="40">
        <f>1</f>
        <v>1</v>
      </c>
    </row>
    <row r="163" spans="1:39" x14ac:dyDescent="0.25">
      <c r="A163" s="587">
        <v>146</v>
      </c>
      <c r="B163" s="621" t="s">
        <v>772</v>
      </c>
      <c r="C163" s="100">
        <v>44649</v>
      </c>
      <c r="D163" s="578" t="s">
        <v>174</v>
      </c>
      <c r="E163" s="578" t="s">
        <v>699</v>
      </c>
      <c r="F163" s="582" t="s">
        <v>1626</v>
      </c>
      <c r="G163" s="578" t="s">
        <v>700</v>
      </c>
      <c r="H163" s="584" t="s">
        <v>2131</v>
      </c>
      <c r="I163" s="98">
        <v>8250830654</v>
      </c>
      <c r="J163" s="264">
        <v>41968.4</v>
      </c>
      <c r="K163" s="264">
        <v>21678</v>
      </c>
      <c r="L163" s="264">
        <v>603.88</v>
      </c>
      <c r="M163" s="264">
        <v>197</v>
      </c>
      <c r="N163" s="264">
        <v>400</v>
      </c>
      <c r="O163" s="100">
        <v>44664</v>
      </c>
      <c r="P163" s="578">
        <v>272</v>
      </c>
      <c r="Q163" s="578">
        <v>272</v>
      </c>
      <c r="R163" s="578" t="s">
        <v>433</v>
      </c>
      <c r="S163" s="100">
        <v>44512</v>
      </c>
      <c r="T163" s="112">
        <v>45119</v>
      </c>
      <c r="U163" s="112">
        <v>45211</v>
      </c>
      <c r="V163" s="112"/>
      <c r="W163" s="112"/>
      <c r="X163" s="112">
        <v>45194</v>
      </c>
      <c r="Y163" s="564">
        <v>82508307</v>
      </c>
      <c r="Z163" s="58" t="s">
        <v>610</v>
      </c>
      <c r="AA163" s="564"/>
      <c r="AB163" s="112" t="s">
        <v>680</v>
      </c>
      <c r="AC163" s="112"/>
      <c r="AD163" s="54">
        <v>64</v>
      </c>
      <c r="AE163" s="618"/>
      <c r="AF163" s="618"/>
      <c r="AG163" s="618"/>
      <c r="AH163" s="618"/>
      <c r="AI163" s="587" t="s">
        <v>174</v>
      </c>
      <c r="AJ163" s="578" t="s">
        <v>174</v>
      </c>
      <c r="AK163" s="40" t="str">
        <f t="shared" si="5"/>
        <v>2022 год</v>
      </c>
      <c r="AL163" s="40" t="str">
        <f t="shared" si="4"/>
        <v>2022 год</v>
      </c>
      <c r="AM163" s="40">
        <f>1</f>
        <v>1</v>
      </c>
    </row>
    <row r="164" spans="1:39" x14ac:dyDescent="0.25">
      <c r="A164" s="587">
        <v>147</v>
      </c>
      <c r="B164" s="621" t="s">
        <v>806</v>
      </c>
      <c r="C164" s="100">
        <v>44418</v>
      </c>
      <c r="D164" s="578" t="s">
        <v>1179</v>
      </c>
      <c r="E164" s="578" t="s">
        <v>731</v>
      </c>
      <c r="F164" s="584" t="s">
        <v>2084</v>
      </c>
      <c r="G164" s="578" t="s">
        <v>821</v>
      </c>
      <c r="H164" s="584" t="s">
        <v>2085</v>
      </c>
      <c r="I164" s="98">
        <v>6278976341</v>
      </c>
      <c r="J164" s="264">
        <v>34795.9</v>
      </c>
      <c r="K164" s="264">
        <v>19231.7</v>
      </c>
      <c r="L164" s="264"/>
      <c r="M164" s="264">
        <v>180</v>
      </c>
      <c r="N164" s="264">
        <v>452</v>
      </c>
      <c r="O164" s="100">
        <v>44428</v>
      </c>
      <c r="P164" s="564">
        <v>312</v>
      </c>
      <c r="Q164" s="578">
        <v>351</v>
      </c>
      <c r="R164" s="578">
        <v>9</v>
      </c>
      <c r="S164" s="100">
        <v>44364</v>
      </c>
      <c r="T164" s="112">
        <v>44943</v>
      </c>
      <c r="U164" s="112">
        <v>45033</v>
      </c>
      <c r="V164" s="112">
        <v>45124</v>
      </c>
      <c r="W164" s="112">
        <v>45216</v>
      </c>
      <c r="X164" s="112">
        <v>45209</v>
      </c>
      <c r="Y164" s="564">
        <v>53279028</v>
      </c>
      <c r="Z164" s="58" t="s">
        <v>637</v>
      </c>
      <c r="AA164" s="564">
        <v>4656873188</v>
      </c>
      <c r="AB164" s="112" t="s">
        <v>680</v>
      </c>
      <c r="AC164" s="112"/>
      <c r="AD164" s="54">
        <v>70</v>
      </c>
      <c r="AE164" s="618"/>
      <c r="AF164" s="618"/>
      <c r="AG164" s="618"/>
      <c r="AH164" s="618"/>
      <c r="AI164" s="587" t="s">
        <v>1179</v>
      </c>
      <c r="AJ164" s="578" t="s">
        <v>1179</v>
      </c>
      <c r="AK164" s="40" t="str">
        <f t="shared" si="5"/>
        <v>2021 год</v>
      </c>
      <c r="AL164" s="40" t="str">
        <f t="shared" si="4"/>
        <v>2021 год</v>
      </c>
      <c r="AM164" s="40">
        <f>1</f>
        <v>1</v>
      </c>
    </row>
    <row r="165" spans="1:39" x14ac:dyDescent="0.25">
      <c r="A165" s="587">
        <v>148</v>
      </c>
      <c r="B165" s="621" t="s">
        <v>1711</v>
      </c>
      <c r="C165" s="100">
        <v>44740</v>
      </c>
      <c r="D165" s="578" t="s">
        <v>753</v>
      </c>
      <c r="E165" s="578" t="s">
        <v>792</v>
      </c>
      <c r="F165" s="584" t="s">
        <v>2087</v>
      </c>
      <c r="G165" s="578" t="s">
        <v>785</v>
      </c>
      <c r="H165" s="584" t="s">
        <v>2088</v>
      </c>
      <c r="I165" s="98">
        <v>17142923032</v>
      </c>
      <c r="J165" s="264">
        <v>31704.799999999999</v>
      </c>
      <c r="K165" s="264">
        <v>46642.31</v>
      </c>
      <c r="L165" s="264">
        <v>2402.0700000000002</v>
      </c>
      <c r="M165" s="264">
        <v>332</v>
      </c>
      <c r="N165" s="264">
        <v>380</v>
      </c>
      <c r="O165" s="100">
        <v>44805</v>
      </c>
      <c r="P165" s="578">
        <v>1034</v>
      </c>
      <c r="Q165" s="578">
        <v>495</v>
      </c>
      <c r="R165" s="578">
        <v>9</v>
      </c>
      <c r="S165" s="100">
        <v>44524</v>
      </c>
      <c r="T165" s="112">
        <v>45162</v>
      </c>
      <c r="U165" s="112">
        <v>45254</v>
      </c>
      <c r="V165" s="112"/>
      <c r="W165" s="112"/>
      <c r="X165" s="112">
        <v>44910</v>
      </c>
      <c r="Y165" s="564">
        <v>141679213</v>
      </c>
      <c r="Z165" s="58" t="s">
        <v>1114</v>
      </c>
      <c r="AA165" s="564"/>
      <c r="AB165" s="112" t="s">
        <v>1549</v>
      </c>
      <c r="AC165" s="112"/>
      <c r="AD165" s="54">
        <v>83</v>
      </c>
      <c r="AE165" s="618"/>
      <c r="AF165" s="618"/>
      <c r="AG165" s="618"/>
      <c r="AH165" s="618"/>
      <c r="AI165" s="587" t="s">
        <v>23</v>
      </c>
      <c r="AJ165" s="578" t="s">
        <v>23</v>
      </c>
      <c r="AK165" s="40" t="str">
        <f t="shared" si="5"/>
        <v>2022 год</v>
      </c>
      <c r="AL165" s="40" t="str">
        <f t="shared" si="4"/>
        <v>2022 год</v>
      </c>
      <c r="AM165" s="40">
        <f>1</f>
        <v>1</v>
      </c>
    </row>
    <row r="166" spans="1:39" x14ac:dyDescent="0.25">
      <c r="A166" s="587" t="s">
        <v>28</v>
      </c>
      <c r="B166" s="621" t="s">
        <v>1712</v>
      </c>
      <c r="C166" s="100">
        <v>44740</v>
      </c>
      <c r="D166" s="578" t="s">
        <v>753</v>
      </c>
      <c r="E166" s="578" t="s">
        <v>792</v>
      </c>
      <c r="F166" s="584" t="s">
        <v>2087</v>
      </c>
      <c r="G166" s="578" t="s">
        <v>785</v>
      </c>
      <c r="H166" s="584" t="s">
        <v>2088</v>
      </c>
      <c r="I166" s="98"/>
      <c r="J166" s="264">
        <f>38183.5-147.41</f>
        <v>38036.089999999997</v>
      </c>
      <c r="K166" s="264"/>
      <c r="L166" s="264"/>
      <c r="M166" s="264"/>
      <c r="N166" s="264"/>
      <c r="O166" s="100">
        <v>44805</v>
      </c>
      <c r="P166" s="578"/>
      <c r="Q166" s="578">
        <v>594</v>
      </c>
      <c r="R166" s="578"/>
      <c r="S166" s="100"/>
      <c r="T166" s="112"/>
      <c r="U166" s="112"/>
      <c r="V166" s="112"/>
      <c r="W166" s="112"/>
      <c r="X166" s="112">
        <v>45216</v>
      </c>
      <c r="Y166" s="564"/>
      <c r="Z166" s="58"/>
      <c r="AA166" s="564"/>
      <c r="AB166" s="112"/>
      <c r="AC166" s="112"/>
      <c r="AD166" s="54"/>
      <c r="AE166" s="618"/>
      <c r="AF166" s="618"/>
      <c r="AG166" s="618"/>
      <c r="AH166" s="618"/>
      <c r="AI166" s="587"/>
      <c r="AJ166" s="578" t="s">
        <v>23</v>
      </c>
      <c r="AK166" s="40"/>
      <c r="AL166" s="40" t="str">
        <f t="shared" si="4"/>
        <v>2022 год</v>
      </c>
      <c r="AM166" s="40"/>
    </row>
    <row r="167" spans="1:39" x14ac:dyDescent="0.25">
      <c r="A167" s="587">
        <v>149</v>
      </c>
      <c r="B167" s="621" t="s">
        <v>1361</v>
      </c>
      <c r="C167" s="100">
        <v>44805</v>
      </c>
      <c r="D167" s="578" t="s">
        <v>2410</v>
      </c>
      <c r="E167" s="578" t="s">
        <v>889</v>
      </c>
      <c r="F167" s="589">
        <v>970540007997</v>
      </c>
      <c r="G167" s="578" t="s">
        <v>1079</v>
      </c>
      <c r="H167" s="584" t="s">
        <v>2146</v>
      </c>
      <c r="I167" s="98">
        <v>2220361349</v>
      </c>
      <c r="J167" s="264">
        <v>7495.49</v>
      </c>
      <c r="K167" s="264">
        <v>4910.88</v>
      </c>
      <c r="L167" s="264"/>
      <c r="M167" s="264">
        <v>296</v>
      </c>
      <c r="N167" s="264">
        <v>497</v>
      </c>
      <c r="O167" s="100">
        <v>44817</v>
      </c>
      <c r="P167" s="578">
        <v>84</v>
      </c>
      <c r="Q167" s="578">
        <v>84</v>
      </c>
      <c r="R167" s="578">
        <v>12</v>
      </c>
      <c r="S167" s="100">
        <v>44720</v>
      </c>
      <c r="T167" s="112">
        <v>45084</v>
      </c>
      <c r="U167" s="112">
        <v>45176</v>
      </c>
      <c r="V167" s="112">
        <v>45267</v>
      </c>
      <c r="W167" s="112"/>
      <c r="X167" s="112">
        <v>45209</v>
      </c>
      <c r="Y167" s="564">
        <v>22203613</v>
      </c>
      <c r="Z167" s="58" t="s">
        <v>1168</v>
      </c>
      <c r="AA167" s="564"/>
      <c r="AB167" s="112" t="s">
        <v>598</v>
      </c>
      <c r="AC167" s="112"/>
      <c r="AD167" s="54">
        <v>84</v>
      </c>
      <c r="AE167" s="618"/>
      <c r="AF167" s="618"/>
      <c r="AG167" s="618">
        <v>238</v>
      </c>
      <c r="AH167" s="618"/>
      <c r="AI167" s="587" t="s">
        <v>1843</v>
      </c>
      <c r="AJ167" s="578" t="s">
        <v>1843</v>
      </c>
      <c r="AK167" s="40" t="str">
        <f t="shared" si="5"/>
        <v>2022 год</v>
      </c>
      <c r="AL167" s="40" t="str">
        <f t="shared" si="4"/>
        <v>2022 год</v>
      </c>
      <c r="AM167" s="40">
        <f>1</f>
        <v>1</v>
      </c>
    </row>
    <row r="168" spans="1:39" ht="31.5" x14ac:dyDescent="0.25">
      <c r="A168" s="587">
        <v>150</v>
      </c>
      <c r="B168" s="621" t="s">
        <v>1156</v>
      </c>
      <c r="C168" s="100">
        <v>44868</v>
      </c>
      <c r="D168" s="578" t="s">
        <v>2410</v>
      </c>
      <c r="E168" s="578" t="s">
        <v>889</v>
      </c>
      <c r="F168" s="589">
        <v>970540007997</v>
      </c>
      <c r="G168" s="578" t="s">
        <v>1079</v>
      </c>
      <c r="H168" s="584" t="s">
        <v>2146</v>
      </c>
      <c r="I168" s="98">
        <v>3974338040</v>
      </c>
      <c r="J168" s="264">
        <v>13441.1</v>
      </c>
      <c r="K168" s="264">
        <v>9078.57</v>
      </c>
      <c r="L168" s="264"/>
      <c r="M168" s="264">
        <v>296</v>
      </c>
      <c r="N168" s="264">
        <v>470</v>
      </c>
      <c r="O168" s="100">
        <v>44886</v>
      </c>
      <c r="P168" s="578">
        <v>132</v>
      </c>
      <c r="Q168" s="578">
        <v>132</v>
      </c>
      <c r="R168" s="578">
        <v>12</v>
      </c>
      <c r="S168" s="100">
        <v>44834</v>
      </c>
      <c r="T168" s="112">
        <v>45199</v>
      </c>
      <c r="U168" s="112">
        <v>45290</v>
      </c>
      <c r="V168" s="112"/>
      <c r="W168" s="112"/>
      <c r="X168" s="112">
        <v>45209</v>
      </c>
      <c r="Y168" s="564">
        <v>39743380</v>
      </c>
      <c r="Z168" s="58" t="s">
        <v>2345</v>
      </c>
      <c r="AA168" s="564"/>
      <c r="AB168" s="112" t="s">
        <v>598</v>
      </c>
      <c r="AC168" s="112"/>
      <c r="AD168" s="54">
        <v>67</v>
      </c>
      <c r="AE168" s="618"/>
      <c r="AF168" s="618"/>
      <c r="AG168" s="618">
        <v>252</v>
      </c>
      <c r="AH168" s="618"/>
      <c r="AI168" s="587" t="s">
        <v>1843</v>
      </c>
      <c r="AJ168" s="578" t="s">
        <v>1843</v>
      </c>
      <c r="AK168" s="40" t="str">
        <f t="shared" si="5"/>
        <v>2022 год</v>
      </c>
      <c r="AL168" s="40" t="str">
        <f t="shared" si="4"/>
        <v>2022 год</v>
      </c>
      <c r="AM168" s="40">
        <f>1</f>
        <v>1</v>
      </c>
    </row>
    <row r="169" spans="1:39" ht="31.5" x14ac:dyDescent="0.25">
      <c r="A169" s="587">
        <v>151</v>
      </c>
      <c r="B169" s="621" t="s">
        <v>1158</v>
      </c>
      <c r="C169" s="100">
        <v>44868</v>
      </c>
      <c r="D169" s="578" t="s">
        <v>2410</v>
      </c>
      <c r="E169" s="578" t="s">
        <v>889</v>
      </c>
      <c r="F169" s="589">
        <v>970540007997</v>
      </c>
      <c r="G169" s="578" t="s">
        <v>1079</v>
      </c>
      <c r="H169" s="584" t="s">
        <v>2146</v>
      </c>
      <c r="I169" s="98">
        <v>4087535350</v>
      </c>
      <c r="J169" s="264">
        <v>13498.53</v>
      </c>
      <c r="K169" s="264">
        <v>9071.92</v>
      </c>
      <c r="L169" s="264"/>
      <c r="M169" s="264">
        <v>303</v>
      </c>
      <c r="N169" s="264">
        <v>477</v>
      </c>
      <c r="O169" s="100">
        <v>44886</v>
      </c>
      <c r="P169" s="578">
        <v>144</v>
      </c>
      <c r="Q169" s="578">
        <v>144</v>
      </c>
      <c r="R169" s="578">
        <v>12</v>
      </c>
      <c r="S169" s="100">
        <v>44834</v>
      </c>
      <c r="T169" s="112">
        <v>45199</v>
      </c>
      <c r="U169" s="112">
        <v>45290</v>
      </c>
      <c r="V169" s="112"/>
      <c r="W169" s="112"/>
      <c r="X169" s="112">
        <v>45209</v>
      </c>
      <c r="Y169" s="564">
        <v>40875353</v>
      </c>
      <c r="Z169" s="58" t="s">
        <v>2346</v>
      </c>
      <c r="AA169" s="564"/>
      <c r="AB169" s="112" t="s">
        <v>598</v>
      </c>
      <c r="AC169" s="112"/>
      <c r="AD169" s="54">
        <v>67</v>
      </c>
      <c r="AE169" s="618"/>
      <c r="AF169" s="618"/>
      <c r="AG169" s="618">
        <v>253</v>
      </c>
      <c r="AH169" s="618"/>
      <c r="AI169" s="587" t="s">
        <v>1843</v>
      </c>
      <c r="AJ169" s="578" t="s">
        <v>1843</v>
      </c>
      <c r="AK169" s="40" t="str">
        <f t="shared" si="5"/>
        <v>2022 год</v>
      </c>
      <c r="AL169" s="40" t="str">
        <f t="shared" si="4"/>
        <v>2022 год</v>
      </c>
      <c r="AM169" s="40">
        <f>1</f>
        <v>1</v>
      </c>
    </row>
    <row r="170" spans="1:39" ht="31.5" x14ac:dyDescent="0.25">
      <c r="A170" s="587">
        <v>152</v>
      </c>
      <c r="B170" s="621" t="s">
        <v>774</v>
      </c>
      <c r="C170" s="100">
        <v>44722</v>
      </c>
      <c r="D170" s="578" t="s">
        <v>753</v>
      </c>
      <c r="E170" s="578" t="s">
        <v>716</v>
      </c>
      <c r="F170" s="580">
        <v>960340000376</v>
      </c>
      <c r="G170" s="578" t="s">
        <v>782</v>
      </c>
      <c r="H170" s="584" t="s">
        <v>2142</v>
      </c>
      <c r="I170" s="98">
        <v>4456001883</v>
      </c>
      <c r="J170" s="264">
        <v>17166.599999999999</v>
      </c>
      <c r="K170" s="264">
        <v>12056.9</v>
      </c>
      <c r="L170" s="264">
        <v>1128.3</v>
      </c>
      <c r="M170" s="264">
        <v>260</v>
      </c>
      <c r="N170" s="264">
        <v>425</v>
      </c>
      <c r="O170" s="100">
        <v>44756</v>
      </c>
      <c r="P170" s="578">
        <v>275</v>
      </c>
      <c r="Q170" s="578">
        <v>275</v>
      </c>
      <c r="R170" s="578">
        <v>12</v>
      </c>
      <c r="S170" s="100">
        <v>44622</v>
      </c>
      <c r="T170" s="112">
        <v>45537</v>
      </c>
      <c r="U170" s="112"/>
      <c r="V170" s="112"/>
      <c r="W170" s="112"/>
      <c r="X170" s="112">
        <v>45171</v>
      </c>
      <c r="Y170" s="564">
        <v>43638544</v>
      </c>
      <c r="Z170" s="58" t="s">
        <v>2338</v>
      </c>
      <c r="AA170" s="564"/>
      <c r="AB170" s="112" t="s">
        <v>598</v>
      </c>
      <c r="AC170" s="112"/>
      <c r="AD170" s="54">
        <v>74</v>
      </c>
      <c r="AE170" s="618"/>
      <c r="AF170" s="618"/>
      <c r="AG170" s="618"/>
      <c r="AH170" s="618"/>
      <c r="AI170" s="587" t="s">
        <v>23</v>
      </c>
      <c r="AJ170" s="578" t="s">
        <v>23</v>
      </c>
      <c r="AK170" s="40" t="str">
        <f t="shared" si="5"/>
        <v>2022 год</v>
      </c>
      <c r="AL170" s="40" t="str">
        <f t="shared" si="4"/>
        <v>2022 год</v>
      </c>
      <c r="AM170" s="40">
        <f>1</f>
        <v>1</v>
      </c>
    </row>
    <row r="171" spans="1:39" x14ac:dyDescent="0.25">
      <c r="A171" s="587">
        <v>153</v>
      </c>
      <c r="B171" s="621" t="s">
        <v>773</v>
      </c>
      <c r="C171" s="100">
        <v>44679</v>
      </c>
      <c r="D171" s="578" t="s">
        <v>174</v>
      </c>
      <c r="E171" s="578" t="s">
        <v>702</v>
      </c>
      <c r="F171" s="582" t="s">
        <v>1639</v>
      </c>
      <c r="G171" s="578" t="s">
        <v>1689</v>
      </c>
      <c r="H171" s="584" t="s">
        <v>2130</v>
      </c>
      <c r="I171" s="98">
        <v>4953472942</v>
      </c>
      <c r="J171" s="264">
        <v>11900.4</v>
      </c>
      <c r="K171" s="264">
        <v>11790</v>
      </c>
      <c r="L171" s="264">
        <v>1157</v>
      </c>
      <c r="M171" s="264">
        <v>346</v>
      </c>
      <c r="N171" s="264">
        <v>563</v>
      </c>
      <c r="O171" s="100">
        <v>44711</v>
      </c>
      <c r="P171" s="578">
        <v>63</v>
      </c>
      <c r="Q171" s="578">
        <v>79</v>
      </c>
      <c r="R171" s="578">
        <v>10</v>
      </c>
      <c r="S171" s="100">
        <v>44602</v>
      </c>
      <c r="T171" s="112">
        <v>44967</v>
      </c>
      <c r="U171" s="112">
        <v>45056</v>
      </c>
      <c r="V171" s="112">
        <v>45148</v>
      </c>
      <c r="W171" s="112">
        <v>45240</v>
      </c>
      <c r="X171" s="112">
        <v>45233</v>
      </c>
      <c r="Y171" s="564">
        <v>43762129</v>
      </c>
      <c r="Z171" s="58" t="s">
        <v>611</v>
      </c>
      <c r="AA171" s="564"/>
      <c r="AB171" s="112" t="s">
        <v>594</v>
      </c>
      <c r="AC171" s="112"/>
      <c r="AD171" s="54">
        <v>91</v>
      </c>
      <c r="AE171" s="618"/>
      <c r="AF171" s="618"/>
      <c r="AG171" s="618"/>
      <c r="AH171" s="618"/>
      <c r="AI171" s="587" t="s">
        <v>174</v>
      </c>
      <c r="AJ171" s="578" t="s">
        <v>174</v>
      </c>
      <c r="AK171" s="40" t="str">
        <f t="shared" si="5"/>
        <v>2022 год</v>
      </c>
      <c r="AL171" s="40" t="str">
        <f t="shared" si="4"/>
        <v>2022 год</v>
      </c>
      <c r="AM171" s="40">
        <f>1</f>
        <v>1</v>
      </c>
    </row>
    <row r="172" spans="1:39" x14ac:dyDescent="0.25">
      <c r="A172" s="587">
        <v>154</v>
      </c>
      <c r="B172" s="621" t="s">
        <v>1660</v>
      </c>
      <c r="C172" s="100">
        <v>44722</v>
      </c>
      <c r="D172" s="578" t="s">
        <v>1179</v>
      </c>
      <c r="E172" s="578" t="s">
        <v>708</v>
      </c>
      <c r="F172" s="584" t="s">
        <v>2102</v>
      </c>
      <c r="G172" s="578" t="s">
        <v>709</v>
      </c>
      <c r="H172" s="584" t="s">
        <v>2132</v>
      </c>
      <c r="I172" s="98">
        <v>21841445585</v>
      </c>
      <c r="J172" s="264">
        <v>114093.4</v>
      </c>
      <c r="K172" s="264">
        <v>72945.600000000006</v>
      </c>
      <c r="L172" s="264">
        <v>8035.65</v>
      </c>
      <c r="M172" s="264">
        <v>191</v>
      </c>
      <c r="N172" s="264">
        <v>376</v>
      </c>
      <c r="O172" s="100">
        <v>44764</v>
      </c>
      <c r="P172" s="578">
        <v>1040</v>
      </c>
      <c r="Q172" s="578">
        <v>1040</v>
      </c>
      <c r="R172" s="578">
        <v>9</v>
      </c>
      <c r="S172" s="100">
        <v>44526</v>
      </c>
      <c r="T172" s="112">
        <v>44983</v>
      </c>
      <c r="U172" s="112">
        <v>45072</v>
      </c>
      <c r="V172" s="112">
        <v>45164</v>
      </c>
      <c r="W172" s="112">
        <v>45256</v>
      </c>
      <c r="X172" s="112">
        <v>45250</v>
      </c>
      <c r="Y172" s="564">
        <v>197200827</v>
      </c>
      <c r="Z172" s="58" t="s">
        <v>666</v>
      </c>
      <c r="AA172" s="564"/>
      <c r="AB172" s="112" t="s">
        <v>607</v>
      </c>
      <c r="AC172" s="112"/>
      <c r="AD172" s="54">
        <v>71</v>
      </c>
      <c r="AE172" s="618"/>
      <c r="AF172" s="618"/>
      <c r="AG172" s="618"/>
      <c r="AH172" s="618" t="s">
        <v>2425</v>
      </c>
      <c r="AI172" s="587" t="s">
        <v>1179</v>
      </c>
      <c r="AJ172" s="578" t="s">
        <v>1179</v>
      </c>
      <c r="AK172" s="40" t="str">
        <f t="shared" si="5"/>
        <v>2022 год</v>
      </c>
      <c r="AL172" s="40" t="str">
        <f t="shared" si="4"/>
        <v>2022 год</v>
      </c>
      <c r="AM172" s="40">
        <f>1</f>
        <v>1</v>
      </c>
    </row>
    <row r="173" spans="1:39" x14ac:dyDescent="0.25">
      <c r="A173" s="587">
        <v>155</v>
      </c>
      <c r="B173" s="621" t="s">
        <v>775</v>
      </c>
      <c r="C173" s="100">
        <v>44722</v>
      </c>
      <c r="D173" s="578" t="s">
        <v>753</v>
      </c>
      <c r="E173" s="578" t="s">
        <v>705</v>
      </c>
      <c r="F173" s="584" t="s">
        <v>2097</v>
      </c>
      <c r="G173" s="578" t="s">
        <v>784</v>
      </c>
      <c r="H173" s="584" t="s">
        <v>2143</v>
      </c>
      <c r="I173" s="98">
        <v>3490772674</v>
      </c>
      <c r="J173" s="264">
        <v>15830.1</v>
      </c>
      <c r="K173" s="264">
        <v>8674.1</v>
      </c>
      <c r="L173" s="264"/>
      <c r="M173" s="264">
        <v>225</v>
      </c>
      <c r="N173" s="264">
        <v>320</v>
      </c>
      <c r="O173" s="100">
        <v>44757</v>
      </c>
      <c r="P173" s="578">
        <v>194</v>
      </c>
      <c r="Q173" s="578">
        <v>194</v>
      </c>
      <c r="R173" s="578">
        <v>9</v>
      </c>
      <c r="S173" s="100">
        <v>44656</v>
      </c>
      <c r="T173" s="112">
        <v>44962</v>
      </c>
      <c r="U173" s="112">
        <v>45051</v>
      </c>
      <c r="V173" s="112">
        <v>45143</v>
      </c>
      <c r="W173" s="112">
        <v>45235</v>
      </c>
      <c r="X173" s="112">
        <v>45219</v>
      </c>
      <c r="Y173" s="564">
        <v>34907727</v>
      </c>
      <c r="Z173" s="58" t="s">
        <v>655</v>
      </c>
      <c r="AA173" s="564"/>
      <c r="AB173" s="112" t="s">
        <v>1312</v>
      </c>
      <c r="AC173" s="112"/>
      <c r="AD173" s="54">
        <v>86</v>
      </c>
      <c r="AE173" s="618"/>
      <c r="AF173" s="618"/>
      <c r="AG173" s="618"/>
      <c r="AH173" s="618"/>
      <c r="AI173" s="587" t="s">
        <v>23</v>
      </c>
      <c r="AJ173" s="578" t="s">
        <v>23</v>
      </c>
      <c r="AK173" s="40" t="str">
        <f t="shared" si="5"/>
        <v>2022 год</v>
      </c>
      <c r="AL173" s="40" t="str">
        <f t="shared" si="4"/>
        <v>2022 год</v>
      </c>
      <c r="AM173" s="40">
        <f>1</f>
        <v>1</v>
      </c>
    </row>
    <row r="174" spans="1:39" x14ac:dyDescent="0.25">
      <c r="A174" s="587">
        <v>156</v>
      </c>
      <c r="B174" s="621" t="s">
        <v>1110</v>
      </c>
      <c r="C174" s="100">
        <v>44701</v>
      </c>
      <c r="D174" s="578" t="s">
        <v>759</v>
      </c>
      <c r="E174" s="578" t="s">
        <v>703</v>
      </c>
      <c r="F174" s="584" t="s">
        <v>2117</v>
      </c>
      <c r="G174" s="578" t="s">
        <v>2209</v>
      </c>
      <c r="H174" s="584" t="s">
        <v>2208</v>
      </c>
      <c r="I174" s="98">
        <v>3177473358</v>
      </c>
      <c r="J174" s="264">
        <v>17698.62</v>
      </c>
      <c r="K174" s="264">
        <v>10789.7</v>
      </c>
      <c r="L174" s="264">
        <v>1314.7</v>
      </c>
      <c r="M174" s="264">
        <v>180</v>
      </c>
      <c r="N174" s="264">
        <v>320</v>
      </c>
      <c r="O174" s="100">
        <v>44739</v>
      </c>
      <c r="P174" s="578">
        <v>233</v>
      </c>
      <c r="Q174" s="578">
        <v>251</v>
      </c>
      <c r="R174" s="578">
        <v>9</v>
      </c>
      <c r="S174" s="100">
        <v>44657</v>
      </c>
      <c r="T174" s="112">
        <v>44991</v>
      </c>
      <c r="U174" s="112">
        <v>45083</v>
      </c>
      <c r="V174" s="112">
        <v>45175</v>
      </c>
      <c r="W174" s="112">
        <v>45266</v>
      </c>
      <c r="X174" s="112">
        <v>45259</v>
      </c>
      <c r="Y174" s="564">
        <v>27799968</v>
      </c>
      <c r="Z174" s="58" t="s">
        <v>612</v>
      </c>
      <c r="AA174" s="564"/>
      <c r="AB174" s="112" t="s">
        <v>1312</v>
      </c>
      <c r="AC174" s="112"/>
      <c r="AD174" s="54">
        <v>84</v>
      </c>
      <c r="AE174" s="618"/>
      <c r="AF174" s="618"/>
      <c r="AG174" s="618"/>
      <c r="AH174" s="618"/>
      <c r="AI174" s="587" t="s">
        <v>1843</v>
      </c>
      <c r="AJ174" s="578" t="s">
        <v>1843</v>
      </c>
      <c r="AK174" s="40" t="str">
        <f t="shared" si="5"/>
        <v>2022 год</v>
      </c>
      <c r="AL174" s="40" t="str">
        <f t="shared" si="4"/>
        <v>2022 год</v>
      </c>
      <c r="AM174" s="40">
        <f>1</f>
        <v>1</v>
      </c>
    </row>
    <row r="175" spans="1:39" ht="31.5" x14ac:dyDescent="0.25">
      <c r="A175" s="587">
        <v>157</v>
      </c>
      <c r="B175" s="621" t="s">
        <v>1190</v>
      </c>
      <c r="C175" s="100">
        <v>44880</v>
      </c>
      <c r="D175" s="578" t="s">
        <v>753</v>
      </c>
      <c r="E175" s="578" t="s">
        <v>716</v>
      </c>
      <c r="F175" s="580">
        <v>960340000376</v>
      </c>
      <c r="G175" s="578" t="s">
        <v>782</v>
      </c>
      <c r="H175" s="584" t="s">
        <v>2142</v>
      </c>
      <c r="I175" s="98">
        <v>4381913280</v>
      </c>
      <c r="J175" s="264">
        <v>17222.8</v>
      </c>
      <c r="K175" s="264">
        <v>12117</v>
      </c>
      <c r="L175" s="264">
        <v>1099.9000000000001</v>
      </c>
      <c r="M175" s="264">
        <v>254</v>
      </c>
      <c r="N175" s="264">
        <v>475</v>
      </c>
      <c r="O175" s="100">
        <v>44908</v>
      </c>
      <c r="P175" s="578">
        <v>264</v>
      </c>
      <c r="Q175" s="578">
        <v>264</v>
      </c>
      <c r="R175" s="578">
        <v>12</v>
      </c>
      <c r="S175" s="100">
        <v>44845</v>
      </c>
      <c r="T175" s="100">
        <v>45758</v>
      </c>
      <c r="U175" s="100"/>
      <c r="V175" s="578"/>
      <c r="W175" s="578"/>
      <c r="X175" s="112">
        <v>45260</v>
      </c>
      <c r="Y175" s="564">
        <v>43387619</v>
      </c>
      <c r="Z175" s="24" t="s">
        <v>2347</v>
      </c>
      <c r="AA175" s="100"/>
      <c r="AB175" s="578" t="s">
        <v>1677</v>
      </c>
      <c r="AC175" s="578"/>
      <c r="AD175" s="578">
        <v>85</v>
      </c>
      <c r="AE175" s="618"/>
      <c r="AF175" s="618"/>
      <c r="AG175" s="618"/>
      <c r="AH175" s="618"/>
      <c r="AI175" s="587" t="s">
        <v>23</v>
      </c>
      <c r="AJ175" s="578" t="s">
        <v>23</v>
      </c>
      <c r="AK175" s="40" t="str">
        <f t="shared" si="5"/>
        <v>2022 год</v>
      </c>
      <c r="AL175" s="40" t="str">
        <f t="shared" si="4"/>
        <v>2022 год</v>
      </c>
      <c r="AM175" s="40">
        <f>1</f>
        <v>1</v>
      </c>
    </row>
    <row r="176" spans="1:39" ht="31.5" x14ac:dyDescent="0.25">
      <c r="A176" s="587">
        <v>158</v>
      </c>
      <c r="B176" s="621" t="s">
        <v>1102</v>
      </c>
      <c r="C176" s="100">
        <v>44502</v>
      </c>
      <c r="D176" s="578" t="s">
        <v>1179</v>
      </c>
      <c r="E176" s="578" t="s">
        <v>695</v>
      </c>
      <c r="F176" s="580">
        <v>960340000376</v>
      </c>
      <c r="G176" s="578" t="s">
        <v>816</v>
      </c>
      <c r="H176" s="584" t="s">
        <v>2186</v>
      </c>
      <c r="I176" s="98">
        <v>2164807770</v>
      </c>
      <c r="J176" s="240">
        <v>10312.19</v>
      </c>
      <c r="K176" s="240">
        <v>8476.5</v>
      </c>
      <c r="L176" s="240">
        <v>534.9</v>
      </c>
      <c r="M176" s="240">
        <v>210</v>
      </c>
      <c r="N176" s="240">
        <v>330</v>
      </c>
      <c r="O176" s="100">
        <v>44517</v>
      </c>
      <c r="P176" s="578">
        <v>108</v>
      </c>
      <c r="Q176" s="578">
        <v>108</v>
      </c>
      <c r="R176" s="578">
        <v>10</v>
      </c>
      <c r="S176" s="100">
        <v>44446</v>
      </c>
      <c r="T176" s="100">
        <v>45208</v>
      </c>
      <c r="U176" s="100">
        <v>45300</v>
      </c>
      <c r="V176" s="578"/>
      <c r="W176" s="578"/>
      <c r="X176" s="100">
        <v>45271</v>
      </c>
      <c r="Y176" s="564">
        <v>21145928</v>
      </c>
      <c r="Z176" s="24" t="s">
        <v>2339</v>
      </c>
      <c r="AA176" s="564">
        <v>1766621826</v>
      </c>
      <c r="AB176" s="578" t="s">
        <v>607</v>
      </c>
      <c r="AC176" s="578"/>
      <c r="AD176" s="578">
        <v>74</v>
      </c>
      <c r="AE176" s="618"/>
      <c r="AF176" s="618"/>
      <c r="AG176" s="618"/>
      <c r="AH176" s="618"/>
      <c r="AI176" s="587" t="s">
        <v>1179</v>
      </c>
      <c r="AJ176" s="578" t="s">
        <v>1179</v>
      </c>
      <c r="AK176" s="40" t="str">
        <f t="shared" si="5"/>
        <v>2021 год</v>
      </c>
      <c r="AL176" s="40" t="str">
        <f t="shared" si="4"/>
        <v>2021 год</v>
      </c>
      <c r="AM176" s="40">
        <f>1</f>
        <v>1</v>
      </c>
    </row>
    <row r="177" spans="1:39" x14ac:dyDescent="0.25">
      <c r="A177" s="587">
        <v>159</v>
      </c>
      <c r="B177" s="621" t="s">
        <v>1281</v>
      </c>
      <c r="C177" s="100">
        <v>45015</v>
      </c>
      <c r="D177" s="578" t="s">
        <v>174</v>
      </c>
      <c r="E177" s="578" t="s">
        <v>702</v>
      </c>
      <c r="F177" s="582" t="s">
        <v>1639</v>
      </c>
      <c r="G177" s="578" t="s">
        <v>684</v>
      </c>
      <c r="H177" s="584" t="s">
        <v>1968</v>
      </c>
      <c r="I177" s="98">
        <v>4285521044</v>
      </c>
      <c r="J177" s="240">
        <v>14689.76</v>
      </c>
      <c r="K177" s="240">
        <v>9270.9</v>
      </c>
      <c r="L177" s="240">
        <v>794.3</v>
      </c>
      <c r="M177" s="240">
        <v>270</v>
      </c>
      <c r="N177" s="240">
        <v>462</v>
      </c>
      <c r="O177" s="100">
        <v>45035</v>
      </c>
      <c r="P177" s="578">
        <v>120</v>
      </c>
      <c r="Q177" s="578">
        <v>120</v>
      </c>
      <c r="R177" s="578">
        <v>5</v>
      </c>
      <c r="S177" s="100">
        <v>44812</v>
      </c>
      <c r="T177" s="100">
        <v>45115</v>
      </c>
      <c r="U177" s="100">
        <v>45207</v>
      </c>
      <c r="V177" s="100">
        <v>45299</v>
      </c>
      <c r="W177" s="578"/>
      <c r="X177" s="100">
        <v>45286</v>
      </c>
      <c r="Y177" s="564">
        <v>24302624</v>
      </c>
      <c r="Z177" s="24" t="s">
        <v>1409</v>
      </c>
      <c r="AA177" s="564"/>
      <c r="AB177" s="578" t="s">
        <v>594</v>
      </c>
      <c r="AC177" s="578"/>
      <c r="AD177" s="578">
        <v>93</v>
      </c>
      <c r="AE177" s="618"/>
      <c r="AF177" s="618">
        <v>1</v>
      </c>
      <c r="AG177" s="618">
        <v>342</v>
      </c>
      <c r="AH177" s="618" t="s">
        <v>2425</v>
      </c>
      <c r="AI177" s="587" t="s">
        <v>174</v>
      </c>
      <c r="AJ177" s="578" t="s">
        <v>174</v>
      </c>
      <c r="AK177" s="40" t="str">
        <f t="shared" si="5"/>
        <v>2023 год</v>
      </c>
      <c r="AL177" s="40" t="str">
        <f t="shared" si="4"/>
        <v>2023 год</v>
      </c>
      <c r="AM177" s="40">
        <f>1</f>
        <v>1</v>
      </c>
    </row>
    <row r="178" spans="1:39" x14ac:dyDescent="0.25">
      <c r="A178" s="587">
        <v>160</v>
      </c>
      <c r="B178" s="621" t="s">
        <v>813</v>
      </c>
      <c r="C178" s="100">
        <v>44483</v>
      </c>
      <c r="D178" s="578" t="s">
        <v>753</v>
      </c>
      <c r="E178" s="578" t="s">
        <v>705</v>
      </c>
      <c r="F178" s="584" t="s">
        <v>2097</v>
      </c>
      <c r="G178" s="578" t="s">
        <v>2137</v>
      </c>
      <c r="H178" s="584" t="s">
        <v>2138</v>
      </c>
      <c r="I178" s="98">
        <v>4541697006</v>
      </c>
      <c r="J178" s="240">
        <v>18802</v>
      </c>
      <c r="K178" s="240">
        <v>11349</v>
      </c>
      <c r="L178" s="240">
        <v>1009.5</v>
      </c>
      <c r="M178" s="240">
        <v>242</v>
      </c>
      <c r="N178" s="240">
        <v>780</v>
      </c>
      <c r="O178" s="100">
        <v>44491</v>
      </c>
      <c r="P178" s="578">
        <v>132</v>
      </c>
      <c r="Q178" s="578">
        <v>132</v>
      </c>
      <c r="R178" s="578">
        <v>12</v>
      </c>
      <c r="S178" s="100">
        <v>44407</v>
      </c>
      <c r="T178" s="100">
        <v>44986</v>
      </c>
      <c r="U178" s="100">
        <v>45078</v>
      </c>
      <c r="V178" s="100">
        <v>45170</v>
      </c>
      <c r="W178" s="100">
        <v>45261</v>
      </c>
      <c r="X178" s="100">
        <v>45260</v>
      </c>
      <c r="Y178" s="564">
        <v>45416970</v>
      </c>
      <c r="Z178" s="24" t="s">
        <v>646</v>
      </c>
      <c r="AA178" s="564"/>
      <c r="AB178" s="578" t="s">
        <v>669</v>
      </c>
      <c r="AC178" s="578"/>
      <c r="AD178" s="578">
        <v>93</v>
      </c>
      <c r="AE178" s="618"/>
      <c r="AF178" s="618"/>
      <c r="AG178" s="618"/>
      <c r="AH178" s="618"/>
      <c r="AI178" s="587" t="s">
        <v>23</v>
      </c>
      <c r="AJ178" s="578" t="s">
        <v>23</v>
      </c>
      <c r="AK178" s="40" t="str">
        <f t="shared" si="5"/>
        <v>2021 год</v>
      </c>
      <c r="AL178" s="40" t="str">
        <f t="shared" si="4"/>
        <v>2021 год</v>
      </c>
      <c r="AM178" s="40">
        <f>1</f>
        <v>1</v>
      </c>
    </row>
    <row r="179" spans="1:39" ht="31.5" x14ac:dyDescent="0.25">
      <c r="A179" s="587">
        <v>161</v>
      </c>
      <c r="B179" s="621" t="s">
        <v>1170</v>
      </c>
      <c r="C179" s="100">
        <v>44908</v>
      </c>
      <c r="D179" s="578" t="s">
        <v>1179</v>
      </c>
      <c r="E179" s="578" t="s">
        <v>716</v>
      </c>
      <c r="F179" s="580">
        <v>960340000376</v>
      </c>
      <c r="G179" s="578" t="s">
        <v>823</v>
      </c>
      <c r="H179" s="584" t="s">
        <v>2141</v>
      </c>
      <c r="I179" s="98">
        <v>3784768129</v>
      </c>
      <c r="J179" s="240">
        <v>16117.54</v>
      </c>
      <c r="K179" s="240">
        <v>14198.77</v>
      </c>
      <c r="L179" s="240">
        <v>935.15</v>
      </c>
      <c r="M179" s="240">
        <v>292</v>
      </c>
      <c r="N179" s="240">
        <v>360</v>
      </c>
      <c r="O179" s="100">
        <v>44939</v>
      </c>
      <c r="P179" s="578">
        <v>118</v>
      </c>
      <c r="Q179" s="578">
        <v>118</v>
      </c>
      <c r="R179" s="578" t="s">
        <v>304</v>
      </c>
      <c r="S179" s="100">
        <v>44819</v>
      </c>
      <c r="T179" s="100">
        <v>45458</v>
      </c>
      <c r="U179" s="100"/>
      <c r="V179" s="100"/>
      <c r="W179" s="100"/>
      <c r="X179" s="100">
        <v>45280</v>
      </c>
      <c r="Y179" s="564">
        <v>31719713</v>
      </c>
      <c r="Z179" s="24" t="s">
        <v>2348</v>
      </c>
      <c r="AA179" s="564"/>
      <c r="AB179" s="578" t="s">
        <v>669</v>
      </c>
      <c r="AC179" s="578"/>
      <c r="AD179" s="578">
        <v>85</v>
      </c>
      <c r="AE179" s="618"/>
      <c r="AF179" s="618"/>
      <c r="AG179" s="618">
        <v>276</v>
      </c>
      <c r="AH179" s="618"/>
      <c r="AI179" s="587" t="s">
        <v>1179</v>
      </c>
      <c r="AJ179" s="578" t="s">
        <v>1179</v>
      </c>
      <c r="AK179" s="40" t="str">
        <f t="shared" si="5"/>
        <v>2023 год</v>
      </c>
      <c r="AL179" s="40" t="str">
        <f t="shared" si="4"/>
        <v>2023 год</v>
      </c>
      <c r="AM179" s="40">
        <f>1</f>
        <v>1</v>
      </c>
    </row>
    <row r="180" spans="1:39" x14ac:dyDescent="0.25">
      <c r="A180" s="587" t="s">
        <v>28</v>
      </c>
      <c r="B180" s="621" t="s">
        <v>1722</v>
      </c>
      <c r="C180" s="100">
        <v>44504</v>
      </c>
      <c r="D180" s="578" t="s">
        <v>753</v>
      </c>
      <c r="E180" s="578" t="s">
        <v>792</v>
      </c>
      <c r="F180" s="584" t="s">
        <v>2087</v>
      </c>
      <c r="G180" s="578" t="s">
        <v>826</v>
      </c>
      <c r="H180" s="584" t="s">
        <v>2089</v>
      </c>
      <c r="I180" s="98"/>
      <c r="J180" s="240">
        <v>7512.7</v>
      </c>
      <c r="K180" s="240"/>
      <c r="L180" s="240"/>
      <c r="M180" s="240"/>
      <c r="N180" s="240"/>
      <c r="O180" s="100">
        <v>44516</v>
      </c>
      <c r="P180" s="578">
        <v>94</v>
      </c>
      <c r="Q180" s="578">
        <v>99</v>
      </c>
      <c r="R180" s="578">
        <v>9</v>
      </c>
      <c r="S180" s="100">
        <v>44391</v>
      </c>
      <c r="T180" s="100">
        <v>44530</v>
      </c>
      <c r="U180" s="100"/>
      <c r="V180" s="100"/>
      <c r="W180" s="100"/>
      <c r="X180" s="100">
        <v>44530</v>
      </c>
      <c r="Y180" s="564"/>
      <c r="Z180" s="24" t="s">
        <v>652</v>
      </c>
      <c r="AA180" s="564"/>
      <c r="AB180" s="578" t="s">
        <v>1549</v>
      </c>
      <c r="AC180" s="578"/>
      <c r="AD180" s="578">
        <v>83</v>
      </c>
      <c r="AE180" s="618"/>
      <c r="AF180" s="618"/>
      <c r="AG180" s="618"/>
      <c r="AH180" s="618"/>
      <c r="AI180" s="587"/>
      <c r="AJ180" s="578" t="s">
        <v>23</v>
      </c>
      <c r="AK180" s="40"/>
      <c r="AL180" s="40" t="str">
        <f t="shared" si="4"/>
        <v>2021 год</v>
      </c>
      <c r="AM180" s="40"/>
    </row>
    <row r="181" spans="1:39" x14ac:dyDescent="0.25">
      <c r="A181" s="587" t="s">
        <v>28</v>
      </c>
      <c r="B181" s="621" t="s">
        <v>1723</v>
      </c>
      <c r="C181" s="100">
        <v>44504</v>
      </c>
      <c r="D181" s="578" t="s">
        <v>753</v>
      </c>
      <c r="E181" s="578" t="s">
        <v>792</v>
      </c>
      <c r="F181" s="584" t="s">
        <v>2087</v>
      </c>
      <c r="G181" s="578" t="s">
        <v>826</v>
      </c>
      <c r="H181" s="584" t="s">
        <v>2089</v>
      </c>
      <c r="I181" s="98"/>
      <c r="J181" s="240">
        <v>17704.599999999999</v>
      </c>
      <c r="K181" s="240"/>
      <c r="L181" s="240"/>
      <c r="M181" s="240"/>
      <c r="N181" s="240"/>
      <c r="O181" s="100">
        <v>44516</v>
      </c>
      <c r="P181" s="578">
        <v>282</v>
      </c>
      <c r="Q181" s="578">
        <v>282</v>
      </c>
      <c r="R181" s="578">
        <v>9</v>
      </c>
      <c r="S181" s="100">
        <v>44391</v>
      </c>
      <c r="T181" s="100">
        <v>44813</v>
      </c>
      <c r="U181" s="100"/>
      <c r="V181" s="100"/>
      <c r="W181" s="100"/>
      <c r="X181" s="100">
        <v>44813</v>
      </c>
      <c r="Y181" s="564"/>
      <c r="Z181" s="24" t="s">
        <v>652</v>
      </c>
      <c r="AA181" s="564"/>
      <c r="AB181" s="578" t="s">
        <v>1549</v>
      </c>
      <c r="AC181" s="578"/>
      <c r="AD181" s="578">
        <v>83</v>
      </c>
      <c r="AE181" s="618"/>
      <c r="AF181" s="618"/>
      <c r="AG181" s="618"/>
      <c r="AH181" s="618"/>
      <c r="AI181" s="587"/>
      <c r="AJ181" s="578" t="s">
        <v>23</v>
      </c>
      <c r="AK181" s="40"/>
      <c r="AL181" s="40" t="str">
        <f t="shared" si="4"/>
        <v>2021 год</v>
      </c>
      <c r="AM181" s="40"/>
    </row>
    <row r="182" spans="1:39" x14ac:dyDescent="0.25">
      <c r="A182" s="587" t="s">
        <v>28</v>
      </c>
      <c r="B182" s="621" t="s">
        <v>1724</v>
      </c>
      <c r="C182" s="100">
        <v>44504</v>
      </c>
      <c r="D182" s="578" t="s">
        <v>753</v>
      </c>
      <c r="E182" s="578" t="s">
        <v>792</v>
      </c>
      <c r="F182" s="584" t="s">
        <v>2087</v>
      </c>
      <c r="G182" s="578" t="s">
        <v>826</v>
      </c>
      <c r="H182" s="584" t="s">
        <v>2089</v>
      </c>
      <c r="I182" s="98"/>
      <c r="J182" s="240">
        <v>38111.4</v>
      </c>
      <c r="K182" s="240"/>
      <c r="L182" s="240"/>
      <c r="M182" s="240"/>
      <c r="N182" s="240"/>
      <c r="O182" s="100">
        <v>44516</v>
      </c>
      <c r="P182" s="578">
        <v>564</v>
      </c>
      <c r="Q182" s="578">
        <v>564</v>
      </c>
      <c r="R182" s="578">
        <v>9</v>
      </c>
      <c r="S182" s="100">
        <v>44391</v>
      </c>
      <c r="T182" s="100">
        <v>45259</v>
      </c>
      <c r="U182" s="100"/>
      <c r="V182" s="100"/>
      <c r="W182" s="100"/>
      <c r="X182" s="100">
        <v>45259</v>
      </c>
      <c r="Y182" s="564"/>
      <c r="Z182" s="24" t="s">
        <v>652</v>
      </c>
      <c r="AA182" s="564"/>
      <c r="AB182" s="578" t="s">
        <v>1549</v>
      </c>
      <c r="AC182" s="578"/>
      <c r="AD182" s="578">
        <v>83</v>
      </c>
      <c r="AE182" s="618"/>
      <c r="AF182" s="618"/>
      <c r="AG182" s="618"/>
      <c r="AH182" s="618"/>
      <c r="AI182" s="587"/>
      <c r="AJ182" s="578" t="s">
        <v>23</v>
      </c>
      <c r="AK182" s="40"/>
      <c r="AL182" s="40" t="str">
        <f t="shared" si="4"/>
        <v>2021 год</v>
      </c>
      <c r="AM182" s="40"/>
    </row>
    <row r="183" spans="1:39" x14ac:dyDescent="0.25">
      <c r="A183" s="587">
        <v>162</v>
      </c>
      <c r="B183" s="621" t="s">
        <v>766</v>
      </c>
      <c r="C183" s="100">
        <v>44588</v>
      </c>
      <c r="D183" s="578" t="s">
        <v>174</v>
      </c>
      <c r="E183" s="578" t="s">
        <v>693</v>
      </c>
      <c r="F183" s="584" t="s">
        <v>1643</v>
      </c>
      <c r="G183" s="578" t="s">
        <v>694</v>
      </c>
      <c r="H183" s="584" t="s">
        <v>1676</v>
      </c>
      <c r="I183" s="98">
        <v>9298035436</v>
      </c>
      <c r="J183" s="240">
        <v>30052.3</v>
      </c>
      <c r="K183" s="240">
        <v>20309.36</v>
      </c>
      <c r="L183" s="240">
        <v>548.04</v>
      </c>
      <c r="M183" s="240">
        <v>309</v>
      </c>
      <c r="N183" s="240">
        <v>461</v>
      </c>
      <c r="O183" s="100">
        <v>44603</v>
      </c>
      <c r="P183" s="578">
        <v>280</v>
      </c>
      <c r="Q183" s="578">
        <v>274</v>
      </c>
      <c r="R183" s="578">
        <v>9</v>
      </c>
      <c r="S183" s="100">
        <v>44551</v>
      </c>
      <c r="T183" s="100">
        <v>45067</v>
      </c>
      <c r="U183" s="100">
        <v>45159</v>
      </c>
      <c r="V183" s="100">
        <v>45251</v>
      </c>
      <c r="W183" s="100">
        <v>45343</v>
      </c>
      <c r="X183" s="100">
        <v>45338</v>
      </c>
      <c r="Y183" s="564">
        <v>92980354</v>
      </c>
      <c r="Z183" s="24" t="s">
        <v>606</v>
      </c>
      <c r="AA183" s="564"/>
      <c r="AB183" s="578" t="s">
        <v>594</v>
      </c>
      <c r="AC183" s="578"/>
      <c r="AD183" s="578">
        <v>88</v>
      </c>
      <c r="AE183" s="618"/>
      <c r="AF183" s="618"/>
      <c r="AG183" s="618">
        <v>83</v>
      </c>
      <c r="AH183" s="618" t="s">
        <v>2425</v>
      </c>
      <c r="AI183" s="587" t="s">
        <v>174</v>
      </c>
      <c r="AJ183" s="578" t="s">
        <v>174</v>
      </c>
      <c r="AK183" s="40" t="str">
        <f t="shared" si="5"/>
        <v>2022 год</v>
      </c>
      <c r="AL183" s="40" t="str">
        <f t="shared" si="4"/>
        <v>2022 год</v>
      </c>
      <c r="AM183" s="40">
        <f>1</f>
        <v>1</v>
      </c>
    </row>
    <row r="184" spans="1:39" x14ac:dyDescent="0.25">
      <c r="A184" s="587">
        <v>163</v>
      </c>
      <c r="B184" s="621" t="s">
        <v>1449</v>
      </c>
      <c r="C184" s="100">
        <v>44978</v>
      </c>
      <c r="D184" s="578" t="s">
        <v>2073</v>
      </c>
      <c r="E184" s="578" t="s">
        <v>706</v>
      </c>
      <c r="F184" s="584" t="s">
        <v>2064</v>
      </c>
      <c r="G184" s="578" t="s">
        <v>707</v>
      </c>
      <c r="H184" s="584" t="s">
        <v>2086</v>
      </c>
      <c r="I184" s="98">
        <v>1082543056</v>
      </c>
      <c r="J184" s="240">
        <v>4089.3</v>
      </c>
      <c r="K184" s="240">
        <v>2543.3000000000002</v>
      </c>
      <c r="L184" s="240"/>
      <c r="M184" s="240">
        <v>265</v>
      </c>
      <c r="N184" s="240">
        <v>455</v>
      </c>
      <c r="O184" s="100">
        <v>44999</v>
      </c>
      <c r="P184" s="578">
        <v>58</v>
      </c>
      <c r="Q184" s="578">
        <f>P184</f>
        <v>58</v>
      </c>
      <c r="R184" s="578">
        <v>5</v>
      </c>
      <c r="S184" s="100">
        <v>44866</v>
      </c>
      <c r="T184" s="100">
        <v>45170</v>
      </c>
      <c r="U184" s="100">
        <v>45261</v>
      </c>
      <c r="V184" s="100"/>
      <c r="W184" s="100"/>
      <c r="X184" s="100">
        <v>45229</v>
      </c>
      <c r="Y184" s="564">
        <v>46686917</v>
      </c>
      <c r="Z184" s="24" t="s">
        <v>1360</v>
      </c>
      <c r="AA184" s="564"/>
      <c r="AB184" s="578" t="s">
        <v>599</v>
      </c>
      <c r="AC184" s="578"/>
      <c r="AD184" s="578">
        <v>93</v>
      </c>
      <c r="AE184" s="618"/>
      <c r="AF184" s="618"/>
      <c r="AG184" s="618">
        <v>321</v>
      </c>
      <c r="AH184" s="618"/>
      <c r="AI184" s="587" t="s">
        <v>1843</v>
      </c>
      <c r="AJ184" s="578" t="s">
        <v>1843</v>
      </c>
      <c r="AK184" s="40" t="str">
        <f t="shared" si="5"/>
        <v>2023 год</v>
      </c>
      <c r="AL184" s="40" t="str">
        <f t="shared" si="4"/>
        <v>2023 год</v>
      </c>
      <c r="AM184" s="40">
        <f>1</f>
        <v>1</v>
      </c>
    </row>
    <row r="185" spans="1:39" x14ac:dyDescent="0.25">
      <c r="A185" s="587">
        <v>164</v>
      </c>
      <c r="B185" s="621" t="s">
        <v>1238</v>
      </c>
      <c r="C185" s="100">
        <v>44908</v>
      </c>
      <c r="D185" s="578" t="s">
        <v>174</v>
      </c>
      <c r="E185" s="100" t="s">
        <v>699</v>
      </c>
      <c r="F185" s="582" t="s">
        <v>1626</v>
      </c>
      <c r="G185" s="578" t="s">
        <v>1193</v>
      </c>
      <c r="H185" s="584" t="s">
        <v>2163</v>
      </c>
      <c r="I185" s="564">
        <v>2088288586</v>
      </c>
      <c r="J185" s="264">
        <v>7695.6</v>
      </c>
      <c r="K185" s="264">
        <v>5171.8500000000004</v>
      </c>
      <c r="L185" s="264">
        <v>755.55</v>
      </c>
      <c r="M185" s="264">
        <v>404</v>
      </c>
      <c r="N185" s="264">
        <v>550</v>
      </c>
      <c r="O185" s="100">
        <v>44938</v>
      </c>
      <c r="P185" s="564">
        <v>42</v>
      </c>
      <c r="Q185" s="578">
        <v>42</v>
      </c>
      <c r="R185" s="578">
        <v>8</v>
      </c>
      <c r="S185" s="100">
        <v>44872</v>
      </c>
      <c r="T185" s="100">
        <v>45145</v>
      </c>
      <c r="U185" s="100">
        <v>45237</v>
      </c>
      <c r="V185" s="100">
        <v>45329</v>
      </c>
      <c r="W185" s="100"/>
      <c r="X185" s="100">
        <v>45315</v>
      </c>
      <c r="Y185" s="98">
        <v>18802318.609999999</v>
      </c>
      <c r="Z185" s="35" t="s">
        <v>1288</v>
      </c>
      <c r="AA185" s="564"/>
      <c r="AB185" s="112" t="s">
        <v>680</v>
      </c>
      <c r="AC185" s="112"/>
      <c r="AD185" s="98">
        <v>70</v>
      </c>
      <c r="AE185" s="618"/>
      <c r="AF185" s="618"/>
      <c r="AG185" s="618">
        <v>284</v>
      </c>
      <c r="AH185" s="618"/>
      <c r="AI185" s="587" t="s">
        <v>174</v>
      </c>
      <c r="AJ185" s="578" t="s">
        <v>174</v>
      </c>
      <c r="AK185" s="40" t="str">
        <f t="shared" si="5"/>
        <v>2023 год</v>
      </c>
      <c r="AL185" s="40" t="str">
        <f t="shared" si="4"/>
        <v>2023 год</v>
      </c>
      <c r="AM185" s="40">
        <f>1</f>
        <v>1</v>
      </c>
    </row>
    <row r="186" spans="1:39" x14ac:dyDescent="0.25">
      <c r="A186" s="587" t="s">
        <v>28</v>
      </c>
      <c r="B186" s="622" t="s">
        <v>1350</v>
      </c>
      <c r="C186" s="100">
        <v>44455</v>
      </c>
      <c r="D186" s="578" t="s">
        <v>753</v>
      </c>
      <c r="E186" s="54" t="s">
        <v>734</v>
      </c>
      <c r="F186" s="584" t="s">
        <v>2098</v>
      </c>
      <c r="G186" s="54" t="s">
        <v>1547</v>
      </c>
      <c r="H186" s="584" t="s">
        <v>2152</v>
      </c>
      <c r="I186" s="564">
        <v>5388524240</v>
      </c>
      <c r="J186" s="264">
        <v>20406.78</v>
      </c>
      <c r="K186" s="264">
        <v>15678.37</v>
      </c>
      <c r="L186" s="264">
        <v>628.75</v>
      </c>
      <c r="M186" s="264">
        <v>296</v>
      </c>
      <c r="N186" s="264">
        <v>386</v>
      </c>
      <c r="O186" s="112">
        <v>44463</v>
      </c>
      <c r="P186" s="564">
        <v>206</v>
      </c>
      <c r="Q186" s="578">
        <v>206</v>
      </c>
      <c r="R186" s="578">
        <v>12</v>
      </c>
      <c r="S186" s="112">
        <v>44743</v>
      </c>
      <c r="T186" s="112">
        <v>45505</v>
      </c>
      <c r="U186" s="100"/>
      <c r="V186" s="100"/>
      <c r="W186" s="100"/>
      <c r="X186" s="100">
        <v>45334</v>
      </c>
      <c r="Y186" s="564">
        <v>133097925</v>
      </c>
      <c r="Z186" s="30" t="s">
        <v>631</v>
      </c>
      <c r="AA186" s="564"/>
      <c r="AB186" s="112" t="s">
        <v>607</v>
      </c>
      <c r="AC186" s="112"/>
      <c r="AD186" s="98">
        <v>92</v>
      </c>
      <c r="AE186" s="618"/>
      <c r="AF186" s="618"/>
      <c r="AG186" s="618"/>
      <c r="AH186" s="618"/>
      <c r="AI186" s="587"/>
      <c r="AJ186" s="578" t="s">
        <v>23</v>
      </c>
      <c r="AK186" s="40"/>
      <c r="AL186" s="40" t="str">
        <f t="shared" si="4"/>
        <v>2021 год</v>
      </c>
      <c r="AM186" s="40"/>
    </row>
    <row r="187" spans="1:39" ht="31.5" x14ac:dyDescent="0.25">
      <c r="A187" s="587" t="s">
        <v>28</v>
      </c>
      <c r="B187" s="621" t="s">
        <v>1352</v>
      </c>
      <c r="C187" s="100">
        <v>44957</v>
      </c>
      <c r="D187" s="578" t="s">
        <v>753</v>
      </c>
      <c r="E187" s="54" t="s">
        <v>734</v>
      </c>
      <c r="F187" s="584" t="s">
        <v>2098</v>
      </c>
      <c r="G187" s="54" t="s">
        <v>1547</v>
      </c>
      <c r="H187" s="584" t="s">
        <v>2152</v>
      </c>
      <c r="I187" s="564">
        <v>1411872653</v>
      </c>
      <c r="J187" s="264">
        <v>0</v>
      </c>
      <c r="K187" s="264"/>
      <c r="L187" s="264"/>
      <c r="M187" s="264"/>
      <c r="N187" s="264"/>
      <c r="O187" s="100">
        <v>44971</v>
      </c>
      <c r="P187" s="620"/>
      <c r="Q187" s="578">
        <v>0</v>
      </c>
      <c r="R187" s="578">
        <v>0</v>
      </c>
      <c r="S187" s="100">
        <f>S186</f>
        <v>44743</v>
      </c>
      <c r="T187" s="112">
        <v>45505</v>
      </c>
      <c r="U187" s="100"/>
      <c r="V187" s="100"/>
      <c r="W187" s="100"/>
      <c r="X187" s="100">
        <v>45334</v>
      </c>
      <c r="Y187" s="98">
        <v>14118727</v>
      </c>
      <c r="Z187" s="30" t="s">
        <v>2349</v>
      </c>
      <c r="AA187" s="564"/>
      <c r="AB187" s="112" t="s">
        <v>607</v>
      </c>
      <c r="AC187" s="112"/>
      <c r="AD187" s="98">
        <v>92</v>
      </c>
      <c r="AE187" s="618"/>
      <c r="AF187" s="618"/>
      <c r="AG187" s="618"/>
      <c r="AH187" s="618"/>
      <c r="AI187" s="587"/>
      <c r="AJ187" s="578" t="s">
        <v>23</v>
      </c>
      <c r="AK187" s="40"/>
      <c r="AL187" s="40" t="str">
        <f t="shared" si="4"/>
        <v>2023 год</v>
      </c>
      <c r="AM187" s="40"/>
    </row>
    <row r="188" spans="1:39" x14ac:dyDescent="0.25">
      <c r="A188" s="587">
        <v>165</v>
      </c>
      <c r="B188" s="621" t="s">
        <v>778</v>
      </c>
      <c r="C188" s="100">
        <v>44749</v>
      </c>
      <c r="D188" s="578" t="s">
        <v>1179</v>
      </c>
      <c r="E188" s="578" t="s">
        <v>712</v>
      </c>
      <c r="F188" s="583" t="s">
        <v>1640</v>
      </c>
      <c r="G188" s="578" t="s">
        <v>787</v>
      </c>
      <c r="H188" s="584" t="s">
        <v>1716</v>
      </c>
      <c r="I188" s="564">
        <v>6103216757</v>
      </c>
      <c r="J188" s="264">
        <v>21572.37</v>
      </c>
      <c r="K188" s="264">
        <v>15389.93</v>
      </c>
      <c r="L188" s="264">
        <v>1080.92</v>
      </c>
      <c r="M188" s="264">
        <v>283</v>
      </c>
      <c r="N188" s="264">
        <v>384</v>
      </c>
      <c r="O188" s="100">
        <v>44784</v>
      </c>
      <c r="P188" s="98">
        <v>300</v>
      </c>
      <c r="Q188" s="98">
        <v>300</v>
      </c>
      <c r="R188" s="578" t="s">
        <v>491</v>
      </c>
      <c r="S188" s="100">
        <v>44666</v>
      </c>
      <c r="T188" s="100">
        <v>45061</v>
      </c>
      <c r="U188" s="100">
        <v>45153</v>
      </c>
      <c r="V188" s="100">
        <v>45245</v>
      </c>
      <c r="W188" s="100">
        <v>45337</v>
      </c>
      <c r="X188" s="100">
        <v>45335</v>
      </c>
      <c r="Y188" s="98">
        <v>47640147</v>
      </c>
      <c r="Z188" s="35" t="s">
        <v>672</v>
      </c>
      <c r="AA188" s="564"/>
      <c r="AB188" s="112" t="s">
        <v>599</v>
      </c>
      <c r="AC188" s="112"/>
      <c r="AD188" s="98">
        <v>72</v>
      </c>
      <c r="AE188" s="618"/>
      <c r="AF188" s="618"/>
      <c r="AG188" s="618"/>
      <c r="AH188" s="618"/>
      <c r="AI188" s="587" t="s">
        <v>1179</v>
      </c>
      <c r="AJ188" s="578" t="s">
        <v>1179</v>
      </c>
      <c r="AK188" s="40" t="str">
        <f t="shared" si="5"/>
        <v>2022 год</v>
      </c>
      <c r="AL188" s="40" t="str">
        <f t="shared" si="4"/>
        <v>2022 год</v>
      </c>
      <c r="AM188" s="40">
        <f>1</f>
        <v>1</v>
      </c>
    </row>
    <row r="189" spans="1:39" ht="31.5" x14ac:dyDescent="0.25">
      <c r="A189" s="587">
        <v>166</v>
      </c>
      <c r="B189" s="621" t="s">
        <v>1729</v>
      </c>
      <c r="C189" s="100">
        <v>44722</v>
      </c>
      <c r="D189" s="578" t="s">
        <v>1179</v>
      </c>
      <c r="E189" s="54" t="s">
        <v>716</v>
      </c>
      <c r="F189" s="580">
        <v>960340000376</v>
      </c>
      <c r="G189" s="578" t="s">
        <v>717</v>
      </c>
      <c r="H189" s="584" t="s">
        <v>1967</v>
      </c>
      <c r="I189" s="564">
        <v>5572491510</v>
      </c>
      <c r="J189" s="264">
        <v>28746.6</v>
      </c>
      <c r="K189" s="264">
        <v>18389.7</v>
      </c>
      <c r="L189" s="264">
        <v>1103.01</v>
      </c>
      <c r="M189" s="264">
        <v>244</v>
      </c>
      <c r="N189" s="264">
        <v>360</v>
      </c>
      <c r="O189" s="100">
        <v>44797</v>
      </c>
      <c r="P189" s="564">
        <v>244</v>
      </c>
      <c r="Q189" s="98">
        <v>244</v>
      </c>
      <c r="R189" s="578" t="s">
        <v>473</v>
      </c>
      <c r="S189" s="100">
        <v>44582</v>
      </c>
      <c r="T189" s="100">
        <v>45281</v>
      </c>
      <c r="U189" s="100">
        <v>45372</v>
      </c>
      <c r="V189" s="100"/>
      <c r="W189" s="100"/>
      <c r="X189" s="100">
        <v>45370</v>
      </c>
      <c r="Y189" s="564">
        <v>55468877</v>
      </c>
      <c r="Z189" s="30" t="s">
        <v>2350</v>
      </c>
      <c r="AA189" s="564"/>
      <c r="AB189" s="112" t="s">
        <v>1550</v>
      </c>
      <c r="AC189" s="112"/>
      <c r="AD189" s="564">
        <v>74</v>
      </c>
      <c r="AE189" s="618"/>
      <c r="AF189" s="618"/>
      <c r="AG189" s="618"/>
      <c r="AH189" s="618"/>
      <c r="AI189" s="587" t="s">
        <v>1179</v>
      </c>
      <c r="AJ189" s="578" t="s">
        <v>1179</v>
      </c>
      <c r="AK189" s="40" t="str">
        <f t="shared" si="5"/>
        <v>2022 год</v>
      </c>
      <c r="AL189" s="40" t="str">
        <f t="shared" si="4"/>
        <v>2022 год</v>
      </c>
      <c r="AM189" s="40">
        <f>1</f>
        <v>1</v>
      </c>
    </row>
    <row r="190" spans="1:39" x14ac:dyDescent="0.25">
      <c r="A190" s="587">
        <v>167</v>
      </c>
      <c r="B190" s="621" t="s">
        <v>1112</v>
      </c>
      <c r="C190" s="100">
        <v>44761</v>
      </c>
      <c r="D190" s="578" t="s">
        <v>753</v>
      </c>
      <c r="E190" s="578" t="s">
        <v>705</v>
      </c>
      <c r="F190" s="584" t="s">
        <v>2097</v>
      </c>
      <c r="G190" s="578" t="s">
        <v>788</v>
      </c>
      <c r="H190" s="584" t="s">
        <v>2184</v>
      </c>
      <c r="I190" s="564">
        <v>3685655518</v>
      </c>
      <c r="J190" s="240">
        <v>12908</v>
      </c>
      <c r="K190" s="240">
        <v>9033.4</v>
      </c>
      <c r="L190" s="240"/>
      <c r="M190" s="240">
        <v>276</v>
      </c>
      <c r="N190" s="240">
        <v>395</v>
      </c>
      <c r="O190" s="100">
        <v>44790</v>
      </c>
      <c r="P190" s="98">
        <v>143</v>
      </c>
      <c r="Q190" s="98">
        <v>143</v>
      </c>
      <c r="R190" s="578">
        <v>7.9</v>
      </c>
      <c r="S190" s="100">
        <v>44734</v>
      </c>
      <c r="T190" s="100">
        <v>45038</v>
      </c>
      <c r="U190" s="100">
        <v>45129</v>
      </c>
      <c r="V190" s="100">
        <v>45221</v>
      </c>
      <c r="W190" s="100">
        <v>45313</v>
      </c>
      <c r="X190" s="100">
        <v>45301</v>
      </c>
      <c r="Y190" s="98" t="s">
        <v>1209</v>
      </c>
      <c r="Z190" s="35" t="s">
        <v>750</v>
      </c>
      <c r="AA190" s="564"/>
      <c r="AB190" s="112" t="s">
        <v>1312</v>
      </c>
      <c r="AC190" s="112"/>
      <c r="AD190" s="564">
        <v>86</v>
      </c>
      <c r="AE190" s="618"/>
      <c r="AF190" s="618"/>
      <c r="AG190" s="618">
        <v>221</v>
      </c>
      <c r="AH190" s="618"/>
      <c r="AI190" s="587" t="s">
        <v>23</v>
      </c>
      <c r="AJ190" s="578" t="s">
        <v>23</v>
      </c>
      <c r="AK190" s="40" t="str">
        <f t="shared" si="5"/>
        <v>2022 год</v>
      </c>
      <c r="AL190" s="40" t="str">
        <f t="shared" si="4"/>
        <v>2022 год</v>
      </c>
      <c r="AM190" s="40">
        <f>1</f>
        <v>1</v>
      </c>
    </row>
    <row r="191" spans="1:39" ht="31.5" x14ac:dyDescent="0.25">
      <c r="A191" s="587">
        <v>168</v>
      </c>
      <c r="B191" s="621" t="s">
        <v>1524</v>
      </c>
      <c r="C191" s="100">
        <v>44894</v>
      </c>
      <c r="D191" s="578" t="s">
        <v>1179</v>
      </c>
      <c r="E191" s="54" t="s">
        <v>716</v>
      </c>
      <c r="F191" s="580">
        <v>960340000376</v>
      </c>
      <c r="G191" s="578" t="s">
        <v>816</v>
      </c>
      <c r="H191" s="584" t="s">
        <v>2186</v>
      </c>
      <c r="I191" s="564">
        <v>2199757682</v>
      </c>
      <c r="J191" s="240">
        <v>9055.4</v>
      </c>
      <c r="K191" s="240">
        <v>7666.2</v>
      </c>
      <c r="L191" s="240"/>
      <c r="M191" s="240">
        <v>287</v>
      </c>
      <c r="N191" s="240">
        <v>360</v>
      </c>
      <c r="O191" s="100">
        <v>44917</v>
      </c>
      <c r="P191" s="564">
        <v>89</v>
      </c>
      <c r="Q191" s="564">
        <v>89</v>
      </c>
      <c r="R191" s="578">
        <v>8.1</v>
      </c>
      <c r="S191" s="100">
        <v>44852</v>
      </c>
      <c r="T191" s="100">
        <v>45248</v>
      </c>
      <c r="U191" s="100">
        <v>45340</v>
      </c>
      <c r="V191" s="100">
        <v>45430</v>
      </c>
      <c r="W191" s="98"/>
      <c r="X191" s="100">
        <v>45428</v>
      </c>
      <c r="Y191" s="98">
        <v>19820402</v>
      </c>
      <c r="Z191" s="30" t="s">
        <v>2351</v>
      </c>
      <c r="AA191" s="564"/>
      <c r="AB191" s="112" t="s">
        <v>607</v>
      </c>
      <c r="AC191" s="112"/>
      <c r="AD191" s="564">
        <v>85</v>
      </c>
      <c r="AE191" s="618"/>
      <c r="AF191" s="618"/>
      <c r="AG191" s="618"/>
      <c r="AH191" s="618"/>
      <c r="AI191" s="587" t="s">
        <v>1179</v>
      </c>
      <c r="AJ191" s="578" t="s">
        <v>1179</v>
      </c>
      <c r="AK191" s="40" t="str">
        <f t="shared" si="5"/>
        <v>2022 год</v>
      </c>
      <c r="AL191" s="40" t="str">
        <f t="shared" si="4"/>
        <v>2022 год</v>
      </c>
      <c r="AM191" s="40">
        <f>1</f>
        <v>1</v>
      </c>
    </row>
    <row r="192" spans="1:39" x14ac:dyDescent="0.25">
      <c r="A192" s="587">
        <v>169</v>
      </c>
      <c r="B192" s="621" t="s">
        <v>1561</v>
      </c>
      <c r="C192" s="100">
        <v>45083</v>
      </c>
      <c r="D192" s="578" t="s">
        <v>1179</v>
      </c>
      <c r="E192" s="578" t="s">
        <v>791</v>
      </c>
      <c r="F192" s="584" t="s">
        <v>1621</v>
      </c>
      <c r="G192" s="578" t="s">
        <v>1678</v>
      </c>
      <c r="H192" s="584" t="s">
        <v>1624</v>
      </c>
      <c r="I192" s="98">
        <v>8484559525</v>
      </c>
      <c r="J192" s="240">
        <v>22720.11</v>
      </c>
      <c r="K192" s="240">
        <v>18212.330000000002</v>
      </c>
      <c r="L192" s="240">
        <v>128.53</v>
      </c>
      <c r="M192" s="240">
        <v>373</v>
      </c>
      <c r="N192" s="240">
        <v>490</v>
      </c>
      <c r="O192" s="112">
        <v>45103</v>
      </c>
      <c r="P192" s="578">
        <v>405</v>
      </c>
      <c r="Q192" s="578">
        <v>405</v>
      </c>
      <c r="R192" s="578">
        <v>17</v>
      </c>
      <c r="S192" s="100">
        <v>45041</v>
      </c>
      <c r="T192" s="100">
        <v>45316</v>
      </c>
      <c r="U192" s="100">
        <v>45407</v>
      </c>
      <c r="V192" s="100"/>
      <c r="W192" s="98"/>
      <c r="X192" s="100">
        <v>45383</v>
      </c>
      <c r="Y192" s="98">
        <v>84145617</v>
      </c>
      <c r="Z192" s="35" t="s">
        <v>1510</v>
      </c>
      <c r="AA192" s="564"/>
      <c r="AB192" s="112" t="s">
        <v>1549</v>
      </c>
      <c r="AC192" s="112"/>
      <c r="AD192" s="98">
        <v>92</v>
      </c>
      <c r="AE192" s="618"/>
      <c r="AF192" s="618"/>
      <c r="AG192" s="618">
        <v>375</v>
      </c>
      <c r="AH192" s="618"/>
      <c r="AI192" s="587" t="s">
        <v>1179</v>
      </c>
      <c r="AJ192" s="578" t="s">
        <v>1179</v>
      </c>
      <c r="AK192" s="40" t="str">
        <f t="shared" si="5"/>
        <v>2023 год</v>
      </c>
      <c r="AL192" s="40" t="str">
        <f t="shared" si="4"/>
        <v>2023 год</v>
      </c>
      <c r="AM192" s="40">
        <f>1</f>
        <v>1</v>
      </c>
    </row>
    <row r="193" spans="1:39" x14ac:dyDescent="0.25">
      <c r="A193" s="587">
        <v>170</v>
      </c>
      <c r="B193" s="621" t="s">
        <v>1176</v>
      </c>
      <c r="C193" s="100">
        <v>44873</v>
      </c>
      <c r="D193" s="578" t="s">
        <v>1179</v>
      </c>
      <c r="E193" s="100" t="s">
        <v>708</v>
      </c>
      <c r="F193" s="584" t="s">
        <v>2102</v>
      </c>
      <c r="G193" s="578" t="s">
        <v>1201</v>
      </c>
      <c r="H193" s="584" t="s">
        <v>2133</v>
      </c>
      <c r="I193" s="564">
        <v>4938141318</v>
      </c>
      <c r="J193" s="264">
        <v>12617.66</v>
      </c>
      <c r="K193" s="264">
        <v>10854.86</v>
      </c>
      <c r="L193" s="264">
        <v>1538.65</v>
      </c>
      <c r="M193" s="264">
        <v>391</v>
      </c>
      <c r="N193" s="264">
        <v>475</v>
      </c>
      <c r="O193" s="112">
        <v>44896</v>
      </c>
      <c r="P193" s="564">
        <v>142</v>
      </c>
      <c r="Q193" s="564">
        <v>142</v>
      </c>
      <c r="R193" s="578" t="s">
        <v>156</v>
      </c>
      <c r="S193" s="100">
        <v>44799</v>
      </c>
      <c r="T193" s="100">
        <v>45438</v>
      </c>
      <c r="U193" s="100">
        <v>45256</v>
      </c>
      <c r="V193" s="100">
        <v>45348</v>
      </c>
      <c r="W193" s="100">
        <v>45438</v>
      </c>
      <c r="X193" s="100">
        <v>45428</v>
      </c>
      <c r="Y193" s="98">
        <v>45788786</v>
      </c>
      <c r="Z193" s="35" t="s">
        <v>1218</v>
      </c>
      <c r="AA193" s="564"/>
      <c r="AB193" s="112" t="s">
        <v>607</v>
      </c>
      <c r="AC193" s="112"/>
      <c r="AD193" s="98">
        <v>69</v>
      </c>
      <c r="AE193" s="618"/>
      <c r="AF193" s="618"/>
      <c r="AG193" s="618"/>
      <c r="AH193" s="618" t="s">
        <v>2425</v>
      </c>
      <c r="AI193" s="587" t="s">
        <v>1179</v>
      </c>
      <c r="AJ193" s="578" t="s">
        <v>1179</v>
      </c>
      <c r="AK193" s="40" t="str">
        <f t="shared" si="5"/>
        <v>2022 год</v>
      </c>
      <c r="AL193" s="40" t="str">
        <f t="shared" si="4"/>
        <v>2022 год</v>
      </c>
      <c r="AM193" s="40">
        <f>1</f>
        <v>1</v>
      </c>
    </row>
    <row r="194" spans="1:39" x14ac:dyDescent="0.25">
      <c r="A194" s="587">
        <v>171</v>
      </c>
      <c r="B194" s="621" t="s">
        <v>1599</v>
      </c>
      <c r="C194" s="100">
        <v>44504</v>
      </c>
      <c r="D194" s="578" t="s">
        <v>753</v>
      </c>
      <c r="E194" s="578" t="s">
        <v>792</v>
      </c>
      <c r="F194" s="584" t="s">
        <v>2087</v>
      </c>
      <c r="G194" s="578" t="s">
        <v>826</v>
      </c>
      <c r="H194" s="584" t="s">
        <v>2089</v>
      </c>
      <c r="I194" s="564">
        <f>17883890008</f>
        <v>17883890008</v>
      </c>
      <c r="J194" s="240">
        <v>11962.8</v>
      </c>
      <c r="K194" s="240">
        <v>56348.5</v>
      </c>
      <c r="L194" s="240">
        <v>2892.5</v>
      </c>
      <c r="M194" s="240">
        <v>238</v>
      </c>
      <c r="N194" s="240">
        <v>330</v>
      </c>
      <c r="O194" s="100">
        <v>44516</v>
      </c>
      <c r="P194" s="98">
        <v>282</v>
      </c>
      <c r="Q194" s="98">
        <v>282</v>
      </c>
      <c r="R194" s="578">
        <v>9</v>
      </c>
      <c r="S194" s="100">
        <v>44391</v>
      </c>
      <c r="T194" s="100">
        <v>45487</v>
      </c>
      <c r="U194" s="100"/>
      <c r="V194" s="100"/>
      <c r="W194" s="100"/>
      <c r="X194" s="100">
        <v>45392</v>
      </c>
      <c r="Y194" s="564">
        <v>157697987</v>
      </c>
      <c r="Z194" s="30" t="s">
        <v>652</v>
      </c>
      <c r="AA194" s="564"/>
      <c r="AB194" s="112" t="s">
        <v>1549</v>
      </c>
      <c r="AC194" s="112"/>
      <c r="AD194" s="564">
        <v>83</v>
      </c>
      <c r="AE194" s="618"/>
      <c r="AF194" s="618"/>
      <c r="AG194" s="618"/>
      <c r="AH194" s="618"/>
      <c r="AI194" s="587" t="s">
        <v>23</v>
      </c>
      <c r="AJ194" s="578" t="s">
        <v>23</v>
      </c>
      <c r="AK194" s="40" t="str">
        <f t="shared" si="5"/>
        <v>2021 год</v>
      </c>
      <c r="AL194" s="40" t="str">
        <f t="shared" si="4"/>
        <v>2021 год</v>
      </c>
      <c r="AM194" s="40">
        <f>1</f>
        <v>1</v>
      </c>
    </row>
    <row r="195" spans="1:39" x14ac:dyDescent="0.25">
      <c r="A195" s="587">
        <v>172</v>
      </c>
      <c r="B195" s="621" t="s">
        <v>1374</v>
      </c>
      <c r="C195" s="100">
        <v>44852</v>
      </c>
      <c r="D195" s="578" t="s">
        <v>174</v>
      </c>
      <c r="E195" s="578" t="s">
        <v>1178</v>
      </c>
      <c r="F195" s="584" t="s">
        <v>2094</v>
      </c>
      <c r="G195" s="578" t="s">
        <v>1130</v>
      </c>
      <c r="H195" s="584" t="s">
        <v>2140</v>
      </c>
      <c r="I195" s="564">
        <v>3621118753</v>
      </c>
      <c r="J195" s="264">
        <v>12822.12</v>
      </c>
      <c r="K195" s="264">
        <v>21559.759999999998</v>
      </c>
      <c r="L195" s="264"/>
      <c r="M195" s="264">
        <v>221</v>
      </c>
      <c r="N195" s="264">
        <v>350</v>
      </c>
      <c r="O195" s="112">
        <v>44866</v>
      </c>
      <c r="P195" s="98">
        <v>104</v>
      </c>
      <c r="Q195" s="564">
        <v>104</v>
      </c>
      <c r="R195" s="578">
        <v>12</v>
      </c>
      <c r="S195" s="112">
        <v>44837</v>
      </c>
      <c r="T195" s="112">
        <v>45141</v>
      </c>
      <c r="U195" s="100">
        <v>45233</v>
      </c>
      <c r="V195" s="100">
        <v>45325</v>
      </c>
      <c r="W195" s="100">
        <v>45415</v>
      </c>
      <c r="X195" s="100">
        <v>45406</v>
      </c>
      <c r="Y195" s="564">
        <v>49896984</v>
      </c>
      <c r="Z195" s="35" t="s">
        <v>1189</v>
      </c>
      <c r="AA195" s="564"/>
      <c r="AB195" s="592" t="s">
        <v>594</v>
      </c>
      <c r="AC195" s="592"/>
      <c r="AD195" s="98">
        <v>72</v>
      </c>
      <c r="AE195" s="618"/>
      <c r="AF195" s="618">
        <v>1</v>
      </c>
      <c r="AG195" s="618">
        <v>256</v>
      </c>
      <c r="AH195" s="618"/>
      <c r="AI195" s="587" t="s">
        <v>174</v>
      </c>
      <c r="AJ195" s="578" t="s">
        <v>174</v>
      </c>
      <c r="AK195" s="40" t="str">
        <f t="shared" si="5"/>
        <v>2022 год</v>
      </c>
      <c r="AL195" s="40" t="str">
        <f t="shared" si="4"/>
        <v>2022 год</v>
      </c>
      <c r="AM195" s="40">
        <f>1</f>
        <v>1</v>
      </c>
    </row>
    <row r="196" spans="1:39" ht="31.5" x14ac:dyDescent="0.25">
      <c r="A196" s="587" t="s">
        <v>28</v>
      </c>
      <c r="B196" s="621" t="s">
        <v>2426</v>
      </c>
      <c r="C196" s="100">
        <v>45300</v>
      </c>
      <c r="D196" s="578" t="s">
        <v>174</v>
      </c>
      <c r="E196" s="578" t="s">
        <v>1178</v>
      </c>
      <c r="F196" s="584" t="s">
        <v>2094</v>
      </c>
      <c r="G196" s="578" t="s">
        <v>1130</v>
      </c>
      <c r="H196" s="584" t="s">
        <v>2140</v>
      </c>
      <c r="I196" s="564">
        <v>2042198677</v>
      </c>
      <c r="J196" s="264">
        <v>12822.1</v>
      </c>
      <c r="K196" s="264"/>
      <c r="L196" s="264"/>
      <c r="M196" s="264"/>
      <c r="N196" s="264"/>
      <c r="O196" s="112">
        <v>44866</v>
      </c>
      <c r="P196" s="98">
        <v>104</v>
      </c>
      <c r="Q196" s="98">
        <v>104</v>
      </c>
      <c r="R196" s="98"/>
      <c r="S196" s="112"/>
      <c r="T196" s="112"/>
      <c r="U196" s="100"/>
      <c r="V196" s="100"/>
      <c r="W196" s="100"/>
      <c r="X196" s="100">
        <v>45406</v>
      </c>
      <c r="Y196" s="564"/>
      <c r="Z196" s="35" t="s">
        <v>2371</v>
      </c>
      <c r="AA196" s="100"/>
      <c r="AB196" s="592" t="s">
        <v>594</v>
      </c>
      <c r="AC196" s="592"/>
      <c r="AD196" s="98"/>
      <c r="AE196" s="618"/>
      <c r="AF196" s="618"/>
      <c r="AG196" s="618"/>
      <c r="AH196" s="618"/>
      <c r="AI196" s="587"/>
      <c r="AJ196" s="578" t="s">
        <v>174</v>
      </c>
      <c r="AK196" s="40"/>
      <c r="AL196" s="40" t="str">
        <f t="shared" ref="AL196:AL217" si="6">CONCATENATE(YEAR(O196)," год")</f>
        <v>2022 год</v>
      </c>
      <c r="AM196" s="40"/>
    </row>
    <row r="197" spans="1:39" x14ac:dyDescent="0.25">
      <c r="A197" s="587">
        <v>173</v>
      </c>
      <c r="B197" s="621" t="s">
        <v>1571</v>
      </c>
      <c r="C197" s="100">
        <v>45209</v>
      </c>
      <c r="D197" s="578" t="s">
        <v>174</v>
      </c>
      <c r="E197" s="578" t="s">
        <v>702</v>
      </c>
      <c r="F197" s="582" t="s">
        <v>1639</v>
      </c>
      <c r="G197" s="578" t="s">
        <v>1572</v>
      </c>
      <c r="H197" s="582" t="s">
        <v>1812</v>
      </c>
      <c r="I197" s="98">
        <v>2860595380</v>
      </c>
      <c r="J197" s="240">
        <v>9723.6</v>
      </c>
      <c r="K197" s="240">
        <v>6706.78</v>
      </c>
      <c r="L197" s="240"/>
      <c r="M197" s="240">
        <v>294</v>
      </c>
      <c r="N197" s="240">
        <v>427</v>
      </c>
      <c r="O197" s="100">
        <v>45219</v>
      </c>
      <c r="P197" s="578">
        <v>130</v>
      </c>
      <c r="Q197" s="564">
        <v>130</v>
      </c>
      <c r="R197" s="578">
        <v>5</v>
      </c>
      <c r="S197" s="100">
        <v>45145</v>
      </c>
      <c r="T197" s="100">
        <v>45450</v>
      </c>
      <c r="U197" s="100"/>
      <c r="V197" s="100"/>
      <c r="W197" s="100"/>
      <c r="X197" s="100">
        <v>45442</v>
      </c>
      <c r="Y197" s="98">
        <v>21906484</v>
      </c>
      <c r="Z197" s="35" t="s">
        <v>1612</v>
      </c>
      <c r="AA197" s="100"/>
      <c r="AB197" s="592" t="s">
        <v>594</v>
      </c>
      <c r="AC197" s="592"/>
      <c r="AD197" s="98">
        <v>84</v>
      </c>
      <c r="AE197" s="618"/>
      <c r="AF197" s="618">
        <v>1</v>
      </c>
      <c r="AG197" s="618">
        <v>430</v>
      </c>
      <c r="AH197" s="618" t="s">
        <v>2425</v>
      </c>
      <c r="AI197" s="587" t="s">
        <v>174</v>
      </c>
      <c r="AJ197" s="578" t="s">
        <v>174</v>
      </c>
      <c r="AK197" s="40" t="str">
        <f t="shared" ref="AK197:AK216" si="7">CONCATENATE(YEAR(O197)," год")</f>
        <v>2023 год</v>
      </c>
      <c r="AL197" s="40" t="str">
        <f t="shared" si="6"/>
        <v>2023 год</v>
      </c>
      <c r="AM197" s="40">
        <f>1</f>
        <v>1</v>
      </c>
    </row>
    <row r="198" spans="1:39" x14ac:dyDescent="0.25">
      <c r="A198" s="587">
        <v>174</v>
      </c>
      <c r="B198" s="621" t="s">
        <v>771</v>
      </c>
      <c r="C198" s="100">
        <v>44623</v>
      </c>
      <c r="D198" s="578" t="s">
        <v>753</v>
      </c>
      <c r="E198" s="578" t="s">
        <v>685</v>
      </c>
      <c r="F198" s="584" t="s">
        <v>1955</v>
      </c>
      <c r="G198" s="578" t="s">
        <v>698</v>
      </c>
      <c r="H198" s="584" t="s">
        <v>2189</v>
      </c>
      <c r="I198" s="564">
        <v>15001173485</v>
      </c>
      <c r="J198" s="264">
        <v>137578.6</v>
      </c>
      <c r="K198" s="264">
        <v>83919.9</v>
      </c>
      <c r="L198" s="264">
        <v>7327.8</v>
      </c>
      <c r="M198" s="264">
        <v>109</v>
      </c>
      <c r="N198" s="264">
        <v>475</v>
      </c>
      <c r="O198" s="100">
        <v>44651</v>
      </c>
      <c r="P198" s="564">
        <v>1388</v>
      </c>
      <c r="Q198" s="564">
        <v>1464</v>
      </c>
      <c r="R198" s="578" t="s">
        <v>437</v>
      </c>
      <c r="S198" s="100">
        <v>44575</v>
      </c>
      <c r="T198" s="100">
        <v>45549</v>
      </c>
      <c r="U198" s="100"/>
      <c r="V198" s="100"/>
      <c r="W198" s="100"/>
      <c r="X198" s="112">
        <v>45380</v>
      </c>
      <c r="Y198" s="564">
        <v>150011735</v>
      </c>
      <c r="Z198" s="30" t="s">
        <v>609</v>
      </c>
      <c r="AA198" s="112"/>
      <c r="AB198" s="592" t="s">
        <v>680</v>
      </c>
      <c r="AC198" s="592"/>
      <c r="AD198" s="564">
        <v>68</v>
      </c>
      <c r="AE198" s="618"/>
      <c r="AF198" s="618"/>
      <c r="AG198" s="618"/>
      <c r="AH198" s="618"/>
      <c r="AI198" s="587" t="s">
        <v>23</v>
      </c>
      <c r="AJ198" s="578" t="s">
        <v>23</v>
      </c>
      <c r="AK198" s="40" t="str">
        <f t="shared" si="7"/>
        <v>2022 год</v>
      </c>
      <c r="AL198" s="40" t="str">
        <f t="shared" si="6"/>
        <v>2022 год</v>
      </c>
      <c r="AM198" s="40">
        <f>1</f>
        <v>1</v>
      </c>
    </row>
    <row r="199" spans="1:39" x14ac:dyDescent="0.25">
      <c r="A199" s="576" t="s">
        <v>28</v>
      </c>
      <c r="B199" s="623" t="s">
        <v>1978</v>
      </c>
      <c r="C199" s="549">
        <v>44502</v>
      </c>
      <c r="D199" s="593" t="s">
        <v>176</v>
      </c>
      <c r="E199" s="593" t="s">
        <v>737</v>
      </c>
      <c r="F199" s="594" t="s">
        <v>2105</v>
      </c>
      <c r="G199" s="593" t="s">
        <v>738</v>
      </c>
      <c r="H199" s="594" t="s">
        <v>2154</v>
      </c>
      <c r="I199" s="550">
        <f>2382516293</f>
        <v>2382516293</v>
      </c>
      <c r="J199" s="547">
        <f>8613.73</f>
        <v>8613.73</v>
      </c>
      <c r="K199" s="547">
        <v>46464.639999999999</v>
      </c>
      <c r="L199" s="547">
        <v>869.66</v>
      </c>
      <c r="M199" s="547">
        <v>279</v>
      </c>
      <c r="N199" s="547">
        <v>296</v>
      </c>
      <c r="O199" s="549">
        <v>44526</v>
      </c>
      <c r="P199" s="593">
        <f>48</f>
        <v>48</v>
      </c>
      <c r="Q199" s="593">
        <f>48</f>
        <v>48</v>
      </c>
      <c r="R199" s="593">
        <v>9</v>
      </c>
      <c r="S199" s="549">
        <v>44244</v>
      </c>
      <c r="T199" s="595">
        <v>44805</v>
      </c>
      <c r="U199" s="595">
        <v>44896</v>
      </c>
      <c r="V199" s="595">
        <v>44986</v>
      </c>
      <c r="W199" s="595">
        <v>45078</v>
      </c>
      <c r="X199" s="595">
        <v>45429</v>
      </c>
      <c r="Y199" s="546"/>
      <c r="Z199" s="553" t="s">
        <v>649</v>
      </c>
      <c r="AA199" s="546"/>
      <c r="AB199" s="595" t="s">
        <v>681</v>
      </c>
      <c r="AC199" s="595"/>
      <c r="AD199" s="596">
        <v>84</v>
      </c>
      <c r="AE199" s="618"/>
      <c r="AF199" s="618"/>
      <c r="AG199" s="618"/>
      <c r="AH199" s="618"/>
      <c r="AI199" s="600"/>
      <c r="AJ199" s="593" t="s">
        <v>176</v>
      </c>
      <c r="AK199" s="40"/>
      <c r="AL199" s="40" t="str">
        <f t="shared" si="6"/>
        <v>2021 год</v>
      </c>
      <c r="AM199" s="40"/>
    </row>
    <row r="200" spans="1:39" x14ac:dyDescent="0.25">
      <c r="A200" s="587">
        <v>175</v>
      </c>
      <c r="B200" s="621" t="s">
        <v>1558</v>
      </c>
      <c r="C200" s="100">
        <v>45090</v>
      </c>
      <c r="D200" s="578" t="s">
        <v>369</v>
      </c>
      <c r="E200" s="578" t="s">
        <v>1444</v>
      </c>
      <c r="F200" s="583" t="s">
        <v>1958</v>
      </c>
      <c r="G200" s="578" t="s">
        <v>1445</v>
      </c>
      <c r="H200" s="584" t="s">
        <v>1647</v>
      </c>
      <c r="I200" s="98">
        <v>1226556104</v>
      </c>
      <c r="J200" s="240">
        <v>6698.3</v>
      </c>
      <c r="K200" s="240">
        <v>4948</v>
      </c>
      <c r="L200" s="240"/>
      <c r="M200" s="240">
        <v>253</v>
      </c>
      <c r="N200" s="240">
        <v>267</v>
      </c>
      <c r="O200" s="100">
        <v>45111</v>
      </c>
      <c r="P200" s="578">
        <v>60</v>
      </c>
      <c r="Q200" s="580">
        <v>58</v>
      </c>
      <c r="R200" s="578">
        <v>5</v>
      </c>
      <c r="S200" s="112">
        <v>44855</v>
      </c>
      <c r="T200" s="112">
        <v>45281</v>
      </c>
      <c r="U200" s="112">
        <v>45372</v>
      </c>
      <c r="V200" s="112">
        <v>45464</v>
      </c>
      <c r="W200" s="564"/>
      <c r="X200" s="112">
        <v>45461</v>
      </c>
      <c r="Y200" s="564">
        <v>10420227</v>
      </c>
      <c r="Z200" s="58" t="s">
        <v>1528</v>
      </c>
      <c r="AA200" s="564"/>
      <c r="AB200" s="564" t="s">
        <v>1446</v>
      </c>
      <c r="AC200" s="564"/>
      <c r="AD200" s="564">
        <v>86</v>
      </c>
      <c r="AE200" s="618"/>
      <c r="AF200" s="618">
        <v>1</v>
      </c>
      <c r="AG200" s="618">
        <v>379</v>
      </c>
      <c r="AH200" s="618"/>
      <c r="AI200" s="587" t="s">
        <v>369</v>
      </c>
      <c r="AJ200" s="578" t="s">
        <v>369</v>
      </c>
      <c r="AK200" s="40" t="str">
        <f t="shared" si="7"/>
        <v>2023 год</v>
      </c>
      <c r="AL200" s="40" t="str">
        <f t="shared" si="6"/>
        <v>2023 год</v>
      </c>
      <c r="AM200" s="40">
        <f>1</f>
        <v>1</v>
      </c>
    </row>
    <row r="201" spans="1:39" x14ac:dyDescent="0.25">
      <c r="A201" s="587">
        <v>176</v>
      </c>
      <c r="B201" s="621" t="s">
        <v>1569</v>
      </c>
      <c r="C201" s="100">
        <v>45083</v>
      </c>
      <c r="D201" s="578" t="s">
        <v>1179</v>
      </c>
      <c r="E201" s="578" t="s">
        <v>791</v>
      </c>
      <c r="F201" s="584" t="s">
        <v>1621</v>
      </c>
      <c r="G201" s="578" t="s">
        <v>972</v>
      </c>
      <c r="H201" s="582" t="s">
        <v>2204</v>
      </c>
      <c r="I201" s="564">
        <v>6705420003</v>
      </c>
      <c r="J201" s="240">
        <v>24819.83</v>
      </c>
      <c r="K201" s="240">
        <v>18260.919999999998</v>
      </c>
      <c r="L201" s="240">
        <v>146.31</v>
      </c>
      <c r="M201" s="240">
        <v>270</v>
      </c>
      <c r="N201" s="240">
        <v>364</v>
      </c>
      <c r="O201" s="112">
        <v>45103</v>
      </c>
      <c r="P201" s="564">
        <v>319</v>
      </c>
      <c r="Q201" s="580">
        <v>319</v>
      </c>
      <c r="R201" s="578">
        <v>9</v>
      </c>
      <c r="S201" s="100">
        <v>44939</v>
      </c>
      <c r="T201" s="100">
        <v>45273</v>
      </c>
      <c r="U201" s="100">
        <v>45364</v>
      </c>
      <c r="V201" s="100">
        <v>45456</v>
      </c>
      <c r="W201" s="100">
        <v>45548</v>
      </c>
      <c r="X201" s="112">
        <v>45476</v>
      </c>
      <c r="Y201" s="98">
        <v>67054200</v>
      </c>
      <c r="Z201" s="35" t="s">
        <v>1509</v>
      </c>
      <c r="AA201" s="564"/>
      <c r="AB201" s="112" t="s">
        <v>680</v>
      </c>
      <c r="AC201" s="112"/>
      <c r="AD201" s="98">
        <v>92</v>
      </c>
      <c r="AE201" s="618"/>
      <c r="AF201" s="618">
        <v>1</v>
      </c>
      <c r="AG201" s="618">
        <v>370</v>
      </c>
      <c r="AH201" s="618"/>
      <c r="AI201" s="587" t="s">
        <v>1179</v>
      </c>
      <c r="AJ201" s="578" t="s">
        <v>1179</v>
      </c>
      <c r="AK201" s="40" t="str">
        <f t="shared" si="7"/>
        <v>2023 год</v>
      </c>
      <c r="AL201" s="40" t="str">
        <f t="shared" si="6"/>
        <v>2023 год</v>
      </c>
      <c r="AM201" s="40">
        <f>1</f>
        <v>1</v>
      </c>
    </row>
    <row r="202" spans="1:39" x14ac:dyDescent="0.25">
      <c r="A202" s="587">
        <v>177</v>
      </c>
      <c r="B202" s="621" t="s">
        <v>1311</v>
      </c>
      <c r="C202" s="100">
        <v>45034</v>
      </c>
      <c r="D202" s="578" t="s">
        <v>175</v>
      </c>
      <c r="E202" s="578" t="s">
        <v>1330</v>
      </c>
      <c r="F202" s="584" t="s">
        <v>2082</v>
      </c>
      <c r="G202" s="578" t="s">
        <v>1144</v>
      </c>
      <c r="H202" s="584" t="s">
        <v>2083</v>
      </c>
      <c r="I202" s="564">
        <v>2625205150</v>
      </c>
      <c r="J202" s="264">
        <v>14521.36</v>
      </c>
      <c r="K202" s="264">
        <v>8910.4</v>
      </c>
      <c r="L202" s="264"/>
      <c r="M202" s="264">
        <v>262</v>
      </c>
      <c r="N202" s="264">
        <v>285</v>
      </c>
      <c r="O202" s="112">
        <v>45079</v>
      </c>
      <c r="P202" s="98">
        <v>136</v>
      </c>
      <c r="Q202" s="580">
        <v>136</v>
      </c>
      <c r="R202" s="98">
        <v>9</v>
      </c>
      <c r="S202" s="100">
        <v>44914</v>
      </c>
      <c r="T202" s="100">
        <v>45202</v>
      </c>
      <c r="U202" s="100">
        <v>45294</v>
      </c>
      <c r="V202" s="100">
        <v>45385</v>
      </c>
      <c r="W202" s="100" t="s">
        <v>1983</v>
      </c>
      <c r="X202" s="100">
        <v>45474</v>
      </c>
      <c r="Y202" s="98">
        <v>24157502</v>
      </c>
      <c r="Z202" s="35" t="s">
        <v>1439</v>
      </c>
      <c r="AA202" s="100"/>
      <c r="AB202" s="100" t="s">
        <v>669</v>
      </c>
      <c r="AC202" s="100"/>
      <c r="AD202" s="98">
        <v>60</v>
      </c>
      <c r="AE202" s="618"/>
      <c r="AF202" s="618"/>
      <c r="AG202" s="618">
        <v>358</v>
      </c>
      <c r="AH202" s="618"/>
      <c r="AI202" s="587" t="s">
        <v>175</v>
      </c>
      <c r="AJ202" s="578" t="s">
        <v>175</v>
      </c>
      <c r="AK202" s="40" t="str">
        <f t="shared" si="7"/>
        <v>2023 год</v>
      </c>
      <c r="AL202" s="40" t="str">
        <f t="shared" si="6"/>
        <v>2023 год</v>
      </c>
      <c r="AM202" s="40">
        <f>1</f>
        <v>1</v>
      </c>
    </row>
    <row r="203" spans="1:39" ht="31.5" x14ac:dyDescent="0.25">
      <c r="A203" s="587">
        <v>178</v>
      </c>
      <c r="B203" s="621" t="s">
        <v>1421</v>
      </c>
      <c r="C203" s="100">
        <v>45083</v>
      </c>
      <c r="D203" s="578" t="s">
        <v>2073</v>
      </c>
      <c r="E203" s="54" t="s">
        <v>706</v>
      </c>
      <c r="F203" s="584" t="s">
        <v>2064</v>
      </c>
      <c r="G203" s="54" t="s">
        <v>707</v>
      </c>
      <c r="H203" s="584" t="s">
        <v>2086</v>
      </c>
      <c r="I203" s="564">
        <v>1084238076</v>
      </c>
      <c r="J203" s="264">
        <v>4352.5</v>
      </c>
      <c r="K203" s="264">
        <v>2544.1999999999998</v>
      </c>
      <c r="L203" s="264"/>
      <c r="M203" s="264">
        <v>249</v>
      </c>
      <c r="N203" s="264">
        <v>455</v>
      </c>
      <c r="O203" s="100">
        <v>45128</v>
      </c>
      <c r="P203" s="98">
        <v>58</v>
      </c>
      <c r="Q203" s="54">
        <v>58</v>
      </c>
      <c r="R203" s="578">
        <v>5</v>
      </c>
      <c r="S203" s="100">
        <v>45022</v>
      </c>
      <c r="T203" s="100">
        <v>45297</v>
      </c>
      <c r="U203" s="100">
        <v>45388</v>
      </c>
      <c r="V203" s="100"/>
      <c r="W203" s="578"/>
      <c r="X203" s="100">
        <v>45378</v>
      </c>
      <c r="Y203" s="98">
        <v>8564559</v>
      </c>
      <c r="Z203" s="35" t="s">
        <v>2372</v>
      </c>
      <c r="AA203" s="100"/>
      <c r="AB203" s="100" t="s">
        <v>599</v>
      </c>
      <c r="AC203" s="100"/>
      <c r="AD203" s="98">
        <v>75</v>
      </c>
      <c r="AE203" s="618"/>
      <c r="AF203" s="618">
        <v>1</v>
      </c>
      <c r="AG203" s="618">
        <v>373</v>
      </c>
      <c r="AH203" s="618"/>
      <c r="AI203" s="587" t="s">
        <v>1843</v>
      </c>
      <c r="AJ203" s="578" t="s">
        <v>1843</v>
      </c>
      <c r="AK203" s="40" t="str">
        <f t="shared" si="7"/>
        <v>2023 год</v>
      </c>
      <c r="AL203" s="40" t="str">
        <f t="shared" si="6"/>
        <v>2023 год</v>
      </c>
      <c r="AM203" s="40">
        <f>1</f>
        <v>1</v>
      </c>
    </row>
    <row r="204" spans="1:39" ht="31.5" x14ac:dyDescent="0.25">
      <c r="A204" s="597">
        <v>179</v>
      </c>
      <c r="B204" s="621" t="s">
        <v>1562</v>
      </c>
      <c r="C204" s="100">
        <v>45188</v>
      </c>
      <c r="D204" s="578" t="s">
        <v>1179</v>
      </c>
      <c r="E204" s="578" t="s">
        <v>791</v>
      </c>
      <c r="F204" s="584" t="s">
        <v>1621</v>
      </c>
      <c r="G204" s="578" t="s">
        <v>1678</v>
      </c>
      <c r="H204" s="584" t="s">
        <v>1624</v>
      </c>
      <c r="I204" s="98">
        <v>7244730899</v>
      </c>
      <c r="J204" s="240">
        <v>16162.59</v>
      </c>
      <c r="K204" s="240">
        <v>12803.11</v>
      </c>
      <c r="L204" s="240">
        <v>101.74</v>
      </c>
      <c r="M204" s="240">
        <v>448</v>
      </c>
      <c r="N204" s="240">
        <v>567</v>
      </c>
      <c r="O204" s="100">
        <v>45196</v>
      </c>
      <c r="P204" s="578">
        <v>257</v>
      </c>
      <c r="Q204" s="54">
        <v>257</v>
      </c>
      <c r="R204" s="578" t="s">
        <v>491</v>
      </c>
      <c r="S204" s="100">
        <v>45079</v>
      </c>
      <c r="T204" s="100">
        <v>45475</v>
      </c>
      <c r="U204" s="100">
        <v>45567</v>
      </c>
      <c r="V204" s="100"/>
      <c r="W204" s="578"/>
      <c r="X204" s="100">
        <v>45492</v>
      </c>
      <c r="Y204" s="98">
        <v>71938878</v>
      </c>
      <c r="Z204" s="35" t="s">
        <v>2368</v>
      </c>
      <c r="AA204" s="100"/>
      <c r="AB204" s="592" t="s">
        <v>1549</v>
      </c>
      <c r="AC204" s="592"/>
      <c r="AD204" s="98">
        <v>82</v>
      </c>
      <c r="AE204" s="618"/>
      <c r="AF204" s="618">
        <v>2</v>
      </c>
      <c r="AG204" s="618">
        <v>418</v>
      </c>
      <c r="AH204" s="618"/>
      <c r="AI204" s="587" t="s">
        <v>1179</v>
      </c>
      <c r="AJ204" s="578" t="s">
        <v>1179</v>
      </c>
      <c r="AK204" s="40" t="str">
        <f t="shared" si="7"/>
        <v>2023 год</v>
      </c>
      <c r="AL204" s="40" t="str">
        <f t="shared" si="6"/>
        <v>2023 год</v>
      </c>
      <c r="AM204" s="40">
        <f>1</f>
        <v>1</v>
      </c>
    </row>
    <row r="205" spans="1:39" ht="31.5" x14ac:dyDescent="0.25">
      <c r="A205" s="597">
        <v>180</v>
      </c>
      <c r="B205" s="621" t="s">
        <v>1690</v>
      </c>
      <c r="C205" s="100">
        <v>45398</v>
      </c>
      <c r="D205" s="578" t="s">
        <v>1179</v>
      </c>
      <c r="E205" s="578" t="s">
        <v>791</v>
      </c>
      <c r="F205" s="584" t="s">
        <v>1621</v>
      </c>
      <c r="G205" s="578" t="s">
        <v>1678</v>
      </c>
      <c r="H205" s="584" t="s">
        <v>1624</v>
      </c>
      <c r="I205" s="98">
        <v>2679891550</v>
      </c>
      <c r="J205" s="240">
        <v>7217.35</v>
      </c>
      <c r="K205" s="240">
        <v>5662.51</v>
      </c>
      <c r="L205" s="240">
        <v>104.8</v>
      </c>
      <c r="M205" s="240">
        <v>371</v>
      </c>
      <c r="N205" s="240">
        <v>475</v>
      </c>
      <c r="O205" s="100">
        <v>45418</v>
      </c>
      <c r="P205" s="578">
        <v>106</v>
      </c>
      <c r="Q205" s="564">
        <v>106</v>
      </c>
      <c r="R205" s="578">
        <v>9</v>
      </c>
      <c r="S205" s="100">
        <v>45371</v>
      </c>
      <c r="T205" s="100">
        <v>45585</v>
      </c>
      <c r="U205" s="618"/>
      <c r="V205" s="618"/>
      <c r="W205" s="618"/>
      <c r="X205" s="100">
        <v>45499</v>
      </c>
      <c r="Y205" s="98">
        <v>26635886</v>
      </c>
      <c r="Z205" s="35" t="s">
        <v>2369</v>
      </c>
      <c r="AA205" s="100"/>
      <c r="AB205" s="592" t="s">
        <v>1549</v>
      </c>
      <c r="AC205" s="592"/>
      <c r="AD205" s="98">
        <v>83</v>
      </c>
      <c r="AE205" s="618"/>
      <c r="AF205" s="618">
        <v>1</v>
      </c>
      <c r="AG205" s="618">
        <v>474</v>
      </c>
      <c r="AH205" s="618"/>
      <c r="AI205" s="587" t="s">
        <v>1179</v>
      </c>
      <c r="AJ205" s="578" t="s">
        <v>1179</v>
      </c>
      <c r="AK205" s="40" t="str">
        <f t="shared" si="7"/>
        <v>2024 год</v>
      </c>
      <c r="AL205" s="40" t="str">
        <f t="shared" si="6"/>
        <v>2024 год</v>
      </c>
      <c r="AM205" s="40">
        <f>1</f>
        <v>1</v>
      </c>
    </row>
    <row r="206" spans="1:39" ht="31.5" x14ac:dyDescent="0.25">
      <c r="A206" s="597">
        <v>181</v>
      </c>
      <c r="B206" s="621" t="s">
        <v>1566</v>
      </c>
      <c r="C206" s="100">
        <v>45111</v>
      </c>
      <c r="D206" s="578" t="s">
        <v>1179</v>
      </c>
      <c r="E206" s="54" t="s">
        <v>716</v>
      </c>
      <c r="F206" s="580">
        <v>960340000376</v>
      </c>
      <c r="G206" s="54" t="s">
        <v>823</v>
      </c>
      <c r="H206" s="584" t="s">
        <v>2141</v>
      </c>
      <c r="I206" s="564">
        <v>3413044920</v>
      </c>
      <c r="J206" s="264">
        <v>19350.28</v>
      </c>
      <c r="K206" s="264">
        <v>13916.37</v>
      </c>
      <c r="L206" s="264">
        <v>1398.43</v>
      </c>
      <c r="M206" s="264">
        <v>176</v>
      </c>
      <c r="N206" s="264">
        <v>330</v>
      </c>
      <c r="O206" s="100">
        <v>45149</v>
      </c>
      <c r="P206" s="98">
        <v>141</v>
      </c>
      <c r="Q206" s="564">
        <v>141</v>
      </c>
      <c r="R206" s="578" t="s">
        <v>47</v>
      </c>
      <c r="S206" s="100">
        <v>44868</v>
      </c>
      <c r="T206" s="100">
        <v>45507</v>
      </c>
      <c r="U206" s="100"/>
      <c r="V206" s="100"/>
      <c r="W206" s="578"/>
      <c r="X206" s="100">
        <v>45505</v>
      </c>
      <c r="Y206" s="98">
        <v>29286365</v>
      </c>
      <c r="Z206" s="35" t="s">
        <v>2370</v>
      </c>
      <c r="AA206" s="100"/>
      <c r="AB206" s="100" t="s">
        <v>669</v>
      </c>
      <c r="AC206" s="100"/>
      <c r="AD206" s="98">
        <v>87</v>
      </c>
      <c r="AE206" s="618"/>
      <c r="AF206" s="618">
        <v>2</v>
      </c>
      <c r="AG206" s="618">
        <v>334</v>
      </c>
      <c r="AH206" s="618"/>
      <c r="AI206" s="587" t="s">
        <v>1179</v>
      </c>
      <c r="AJ206" s="578" t="s">
        <v>1179</v>
      </c>
      <c r="AK206" s="40" t="str">
        <f t="shared" si="7"/>
        <v>2023 год</v>
      </c>
      <c r="AL206" s="40" t="str">
        <f t="shared" si="6"/>
        <v>2023 год</v>
      </c>
      <c r="AM206" s="40">
        <f>1</f>
        <v>1</v>
      </c>
    </row>
    <row r="207" spans="1:39" x14ac:dyDescent="0.25">
      <c r="A207" s="598">
        <v>182</v>
      </c>
      <c r="B207" s="623" t="s">
        <v>1979</v>
      </c>
      <c r="C207" s="549">
        <v>44502</v>
      </c>
      <c r="D207" s="593" t="s">
        <v>176</v>
      </c>
      <c r="E207" s="593" t="s">
        <v>737</v>
      </c>
      <c r="F207" s="594" t="s">
        <v>2105</v>
      </c>
      <c r="G207" s="593" t="s">
        <v>738</v>
      </c>
      <c r="H207" s="594" t="s">
        <v>2154</v>
      </c>
      <c r="I207" s="546">
        <f>6572665688-1888729449-2382516293</f>
        <v>2301419946</v>
      </c>
      <c r="J207" s="547">
        <f>34149.5-8308.3-8613.73</f>
        <v>17227.47</v>
      </c>
      <c r="K207" s="547">
        <v>6464.64</v>
      </c>
      <c r="L207" s="547">
        <v>869.66</v>
      </c>
      <c r="M207" s="547">
        <v>283</v>
      </c>
      <c r="N207" s="547">
        <v>296</v>
      </c>
      <c r="O207" s="549">
        <v>44526</v>
      </c>
      <c r="P207" s="546">
        <f>198-54-48</f>
        <v>96</v>
      </c>
      <c r="Q207" s="546">
        <v>48</v>
      </c>
      <c r="R207" s="593">
        <v>9</v>
      </c>
      <c r="S207" s="549">
        <v>44244</v>
      </c>
      <c r="T207" s="549">
        <v>44805</v>
      </c>
      <c r="U207" s="549">
        <v>44896</v>
      </c>
      <c r="V207" s="549">
        <v>44986</v>
      </c>
      <c r="W207" s="549">
        <v>45078</v>
      </c>
      <c r="X207" s="599">
        <v>45503</v>
      </c>
      <c r="Y207" s="546">
        <v>56155552</v>
      </c>
      <c r="Z207" s="552" t="s">
        <v>649</v>
      </c>
      <c r="AA207" s="546"/>
      <c r="AB207" s="595" t="s">
        <v>681</v>
      </c>
      <c r="AC207" s="595"/>
      <c r="AD207" s="546">
        <v>84</v>
      </c>
      <c r="AE207" s="618"/>
      <c r="AF207" s="618"/>
      <c r="AG207" s="618">
        <v>36</v>
      </c>
      <c r="AH207" s="618"/>
      <c r="AI207" s="600" t="s">
        <v>176</v>
      </c>
      <c r="AJ207" s="593" t="s">
        <v>176</v>
      </c>
      <c r="AK207" s="40" t="str">
        <f t="shared" si="7"/>
        <v>2021 год</v>
      </c>
      <c r="AL207" s="40" t="str">
        <f t="shared" si="6"/>
        <v>2021 год</v>
      </c>
      <c r="AM207" s="40">
        <f>1</f>
        <v>1</v>
      </c>
    </row>
    <row r="208" spans="1:39" ht="31.5" x14ac:dyDescent="0.25">
      <c r="A208" s="600" t="s">
        <v>28</v>
      </c>
      <c r="B208" s="631" t="s">
        <v>1329</v>
      </c>
      <c r="C208" s="549">
        <v>44973</v>
      </c>
      <c r="D208" s="593" t="s">
        <v>176</v>
      </c>
      <c r="E208" s="593" t="s">
        <v>737</v>
      </c>
      <c r="F208" s="594" t="s">
        <v>2105</v>
      </c>
      <c r="G208" s="593" t="s">
        <v>738</v>
      </c>
      <c r="H208" s="594" t="s">
        <v>2154</v>
      </c>
      <c r="I208" s="546">
        <v>113803898</v>
      </c>
      <c r="J208" s="547">
        <v>-8613.74</v>
      </c>
      <c r="K208" s="547"/>
      <c r="L208" s="547"/>
      <c r="M208" s="547"/>
      <c r="N208" s="547"/>
      <c r="O208" s="549">
        <v>44981</v>
      </c>
      <c r="P208" s="550">
        <v>-48</v>
      </c>
      <c r="Q208" s="546"/>
      <c r="R208" s="593">
        <v>0</v>
      </c>
      <c r="S208" s="549">
        <v>44244</v>
      </c>
      <c r="T208" s="549">
        <v>45078</v>
      </c>
      <c r="U208" s="550"/>
      <c r="V208" s="549"/>
      <c r="W208" s="593"/>
      <c r="X208" s="599">
        <v>45503</v>
      </c>
      <c r="Y208" s="550">
        <v>1138037</v>
      </c>
      <c r="Z208" s="552" t="s">
        <v>2373</v>
      </c>
      <c r="AA208" s="549"/>
      <c r="AB208" s="595" t="s">
        <v>681</v>
      </c>
      <c r="AC208" s="595"/>
      <c r="AD208" s="550">
        <v>84</v>
      </c>
      <c r="AE208" s="618"/>
      <c r="AF208" s="618"/>
      <c r="AG208" s="618"/>
      <c r="AH208" s="618"/>
      <c r="AI208" s="600"/>
      <c r="AJ208" s="593" t="s">
        <v>176</v>
      </c>
      <c r="AK208" s="40"/>
      <c r="AL208" s="40" t="str">
        <f t="shared" si="6"/>
        <v>2023 год</v>
      </c>
      <c r="AM208" s="40"/>
    </row>
    <row r="209" spans="1:39" x14ac:dyDescent="0.25">
      <c r="A209" s="597">
        <v>183</v>
      </c>
      <c r="B209" s="621" t="s">
        <v>2004</v>
      </c>
      <c r="C209" s="100">
        <v>45148</v>
      </c>
      <c r="D209" s="578" t="s">
        <v>174</v>
      </c>
      <c r="E209" s="578" t="s">
        <v>699</v>
      </c>
      <c r="F209" s="582" t="s">
        <v>1626</v>
      </c>
      <c r="G209" s="578" t="s">
        <v>1514</v>
      </c>
      <c r="H209" s="583" t="s">
        <v>1627</v>
      </c>
      <c r="I209" s="98">
        <v>2934513361</v>
      </c>
      <c r="J209" s="240">
        <v>11723</v>
      </c>
      <c r="K209" s="240">
        <v>6650.8</v>
      </c>
      <c r="L209" s="240">
        <v>1070.5999999999999</v>
      </c>
      <c r="M209" s="240">
        <v>250</v>
      </c>
      <c r="N209" s="240">
        <v>380</v>
      </c>
      <c r="O209" s="100">
        <v>45183</v>
      </c>
      <c r="P209" s="578">
        <v>80</v>
      </c>
      <c r="Q209" s="564">
        <v>90</v>
      </c>
      <c r="R209" s="578">
        <v>9</v>
      </c>
      <c r="S209" s="100">
        <v>45089</v>
      </c>
      <c r="T209" s="100">
        <v>45363</v>
      </c>
      <c r="U209" s="100">
        <v>45455</v>
      </c>
      <c r="V209" s="100"/>
      <c r="W209" s="578"/>
      <c r="X209" s="100">
        <v>45454</v>
      </c>
      <c r="Y209" s="98">
        <v>26372811</v>
      </c>
      <c r="Z209" s="35" t="s">
        <v>1574</v>
      </c>
      <c r="AA209" s="100"/>
      <c r="AB209" s="592" t="s">
        <v>607</v>
      </c>
      <c r="AC209" s="592"/>
      <c r="AD209" s="98">
        <v>70</v>
      </c>
      <c r="AE209" s="618"/>
      <c r="AF209" s="618">
        <v>1</v>
      </c>
      <c r="AG209" s="618">
        <v>407</v>
      </c>
      <c r="AH209" s="618" t="s">
        <v>2425</v>
      </c>
      <c r="AI209" s="587" t="s">
        <v>174</v>
      </c>
      <c r="AJ209" s="578" t="s">
        <v>174</v>
      </c>
      <c r="AK209" s="40" t="str">
        <f t="shared" si="7"/>
        <v>2023 год</v>
      </c>
      <c r="AL209" s="40" t="str">
        <f t="shared" si="6"/>
        <v>2023 год</v>
      </c>
      <c r="AM209" s="40">
        <f>1</f>
        <v>1</v>
      </c>
    </row>
    <row r="210" spans="1:39" x14ac:dyDescent="0.25">
      <c r="A210" s="597">
        <v>184</v>
      </c>
      <c r="B210" s="621" t="s">
        <v>1265</v>
      </c>
      <c r="C210" s="100">
        <v>44950</v>
      </c>
      <c r="D210" s="578" t="s">
        <v>1179</v>
      </c>
      <c r="E210" s="578" t="s">
        <v>948</v>
      </c>
      <c r="F210" s="584" t="s">
        <v>2103</v>
      </c>
      <c r="G210" s="578" t="s">
        <v>1310</v>
      </c>
      <c r="H210" s="584" t="s">
        <v>2180</v>
      </c>
      <c r="I210" s="564">
        <v>5499684209</v>
      </c>
      <c r="J210" s="264">
        <v>27554.55</v>
      </c>
      <c r="K210" s="264">
        <v>20364.400000000001</v>
      </c>
      <c r="L210" s="264">
        <v>2065.4499999999998</v>
      </c>
      <c r="M210" s="264">
        <v>200</v>
      </c>
      <c r="N210" s="264">
        <v>342</v>
      </c>
      <c r="O210" s="100">
        <v>44980</v>
      </c>
      <c r="P210" s="564">
        <v>394</v>
      </c>
      <c r="Q210" s="564">
        <v>394</v>
      </c>
      <c r="R210" s="578" t="s">
        <v>491</v>
      </c>
      <c r="S210" s="100">
        <v>44889</v>
      </c>
      <c r="T210" s="100">
        <v>45420</v>
      </c>
      <c r="U210" s="98"/>
      <c r="V210" s="100"/>
      <c r="W210" s="578"/>
      <c r="X210" s="100">
        <v>45420</v>
      </c>
      <c r="Y210" s="98">
        <v>46751044</v>
      </c>
      <c r="Z210" s="35" t="s">
        <v>1338</v>
      </c>
      <c r="AA210" s="100"/>
      <c r="AB210" s="100" t="s">
        <v>1446</v>
      </c>
      <c r="AC210" s="100"/>
      <c r="AD210" s="98">
        <v>73</v>
      </c>
      <c r="AE210" s="618"/>
      <c r="AF210" s="618">
        <v>1</v>
      </c>
      <c r="AG210" s="618"/>
      <c r="AH210" s="618"/>
      <c r="AI210" s="587" t="s">
        <v>1179</v>
      </c>
      <c r="AJ210" s="578" t="s">
        <v>1179</v>
      </c>
      <c r="AK210" s="40" t="str">
        <f t="shared" si="7"/>
        <v>2023 год</v>
      </c>
      <c r="AL210" s="40" t="str">
        <f t="shared" si="6"/>
        <v>2023 год</v>
      </c>
      <c r="AM210" s="40">
        <f>1</f>
        <v>1</v>
      </c>
    </row>
    <row r="211" spans="1:39" ht="31.5" x14ac:dyDescent="0.25">
      <c r="A211" s="587">
        <v>185</v>
      </c>
      <c r="B211" s="621" t="s">
        <v>1331</v>
      </c>
      <c r="C211" s="100">
        <v>45072</v>
      </c>
      <c r="D211" s="578" t="s">
        <v>1179</v>
      </c>
      <c r="E211" s="578" t="s">
        <v>716</v>
      </c>
      <c r="F211" s="580">
        <v>960340000376</v>
      </c>
      <c r="G211" s="578" t="s">
        <v>816</v>
      </c>
      <c r="H211" s="584" t="s">
        <v>2186</v>
      </c>
      <c r="I211" s="98">
        <v>2228232541</v>
      </c>
      <c r="J211" s="264">
        <v>9633.7000000000007</v>
      </c>
      <c r="K211" s="264">
        <v>7631.2</v>
      </c>
      <c r="L211" s="264">
        <v>313.3</v>
      </c>
      <c r="M211" s="264">
        <v>231</v>
      </c>
      <c r="N211" s="264">
        <v>360</v>
      </c>
      <c r="O211" s="112">
        <v>45098</v>
      </c>
      <c r="P211" s="564">
        <v>96</v>
      </c>
      <c r="Q211" s="564">
        <v>96</v>
      </c>
      <c r="R211" s="601" t="s">
        <v>1996</v>
      </c>
      <c r="S211" s="100">
        <v>44868</v>
      </c>
      <c r="T211" s="100">
        <v>45263</v>
      </c>
      <c r="U211" s="100">
        <v>45354</v>
      </c>
      <c r="V211" s="100">
        <v>45446</v>
      </c>
      <c r="W211" s="100">
        <v>45538</v>
      </c>
      <c r="X211" s="100">
        <v>45517</v>
      </c>
      <c r="Y211" s="98">
        <v>21950725</v>
      </c>
      <c r="Z211" s="30" t="s">
        <v>2352</v>
      </c>
      <c r="AA211" s="100"/>
      <c r="AB211" s="112" t="s">
        <v>607</v>
      </c>
      <c r="AC211" s="112"/>
      <c r="AD211" s="98">
        <v>85</v>
      </c>
      <c r="AE211" s="618"/>
      <c r="AF211" s="618">
        <v>1</v>
      </c>
      <c r="AG211" s="618">
        <v>335</v>
      </c>
      <c r="AH211" s="618"/>
      <c r="AI211" s="587" t="s">
        <v>1179</v>
      </c>
      <c r="AJ211" s="578" t="s">
        <v>1179</v>
      </c>
      <c r="AK211" s="40" t="str">
        <f t="shared" si="7"/>
        <v>2023 год</v>
      </c>
      <c r="AL211" s="40" t="str">
        <f t="shared" si="6"/>
        <v>2023 год</v>
      </c>
      <c r="AM211" s="40">
        <f>1</f>
        <v>1</v>
      </c>
    </row>
    <row r="212" spans="1:39" ht="31.5" x14ac:dyDescent="0.25">
      <c r="A212" s="587">
        <v>186</v>
      </c>
      <c r="B212" s="621" t="s">
        <v>1334</v>
      </c>
      <c r="C212" s="100">
        <v>45072</v>
      </c>
      <c r="D212" s="578" t="s">
        <v>1179</v>
      </c>
      <c r="E212" s="578" t="s">
        <v>716</v>
      </c>
      <c r="F212" s="580">
        <v>960340000376</v>
      </c>
      <c r="G212" s="578" t="s">
        <v>816</v>
      </c>
      <c r="H212" s="584" t="s">
        <v>2186</v>
      </c>
      <c r="I212" s="564">
        <v>1057725138</v>
      </c>
      <c r="J212" s="264">
        <v>5866.6</v>
      </c>
      <c r="K212" s="264">
        <v>4239.6000000000004</v>
      </c>
      <c r="L212" s="264">
        <v>300.10000000000002</v>
      </c>
      <c r="M212" s="264">
        <v>180</v>
      </c>
      <c r="N212" s="264">
        <v>380</v>
      </c>
      <c r="O212" s="112">
        <v>45098</v>
      </c>
      <c r="P212" s="564">
        <v>54</v>
      </c>
      <c r="Q212" s="564">
        <v>54</v>
      </c>
      <c r="R212" s="578">
        <v>10</v>
      </c>
      <c r="S212" s="100">
        <v>44960</v>
      </c>
      <c r="T212" s="100">
        <v>45324</v>
      </c>
      <c r="U212" s="100">
        <v>45414</v>
      </c>
      <c r="V212" s="100">
        <v>45506</v>
      </c>
      <c r="W212" s="578"/>
      <c r="X212" s="100">
        <v>45517</v>
      </c>
      <c r="Y212" s="98">
        <v>10429811</v>
      </c>
      <c r="Z212" s="30" t="s">
        <v>2352</v>
      </c>
      <c r="AA212" s="100"/>
      <c r="AB212" s="112" t="s">
        <v>607</v>
      </c>
      <c r="AC212" s="112"/>
      <c r="AD212" s="98">
        <v>85</v>
      </c>
      <c r="AE212" s="618"/>
      <c r="AF212" s="618">
        <v>1</v>
      </c>
      <c r="AG212" s="618">
        <v>336</v>
      </c>
      <c r="AH212" s="618"/>
      <c r="AI212" s="587" t="s">
        <v>1179</v>
      </c>
      <c r="AJ212" s="578" t="s">
        <v>1179</v>
      </c>
      <c r="AK212" s="40" t="str">
        <f t="shared" si="7"/>
        <v>2023 год</v>
      </c>
      <c r="AL212" s="40" t="str">
        <f t="shared" si="6"/>
        <v>2023 год</v>
      </c>
      <c r="AM212" s="40">
        <f>1</f>
        <v>1</v>
      </c>
    </row>
    <row r="213" spans="1:39" ht="31.5" x14ac:dyDescent="0.25">
      <c r="A213" s="587">
        <v>187</v>
      </c>
      <c r="B213" s="621" t="s">
        <v>1333</v>
      </c>
      <c r="C213" s="100">
        <v>45072</v>
      </c>
      <c r="D213" s="578" t="s">
        <v>1179</v>
      </c>
      <c r="E213" s="578" t="s">
        <v>716</v>
      </c>
      <c r="F213" s="580">
        <v>960340000376</v>
      </c>
      <c r="G213" s="578" t="s">
        <v>816</v>
      </c>
      <c r="H213" s="584" t="s">
        <v>2186</v>
      </c>
      <c r="I213" s="564">
        <v>1108602580</v>
      </c>
      <c r="J213" s="240">
        <v>5279</v>
      </c>
      <c r="K213" s="240">
        <v>4242.1000000000004</v>
      </c>
      <c r="L213" s="240">
        <v>386.3</v>
      </c>
      <c r="M213" s="240">
        <v>210</v>
      </c>
      <c r="N213" s="240">
        <v>380</v>
      </c>
      <c r="O213" s="112">
        <v>45098</v>
      </c>
      <c r="P213" s="564">
        <v>54</v>
      </c>
      <c r="Q213" s="564">
        <v>54</v>
      </c>
      <c r="R213" s="578">
        <v>10</v>
      </c>
      <c r="S213" s="100">
        <v>44964</v>
      </c>
      <c r="T213" s="100">
        <v>45358</v>
      </c>
      <c r="U213" s="100">
        <v>45450</v>
      </c>
      <c r="V213" s="100">
        <v>45542</v>
      </c>
      <c r="W213" s="578"/>
      <c r="X213" s="100">
        <v>45538</v>
      </c>
      <c r="Y213" s="98">
        <v>10937285.800000001</v>
      </c>
      <c r="Z213" s="30" t="s">
        <v>2352</v>
      </c>
      <c r="AA213" s="100"/>
      <c r="AB213" s="112" t="s">
        <v>607</v>
      </c>
      <c r="AC213" s="112"/>
      <c r="AD213" s="98">
        <v>85</v>
      </c>
      <c r="AE213" s="618"/>
      <c r="AF213" s="618">
        <v>1</v>
      </c>
      <c r="AG213" s="618">
        <v>337</v>
      </c>
      <c r="AH213" s="618"/>
      <c r="AI213" s="587" t="s">
        <v>1179</v>
      </c>
      <c r="AJ213" s="578" t="s">
        <v>1179</v>
      </c>
      <c r="AK213" s="40" t="str">
        <f t="shared" si="7"/>
        <v>2023 год</v>
      </c>
      <c r="AL213" s="40" t="str">
        <f t="shared" si="6"/>
        <v>2023 год</v>
      </c>
      <c r="AM213" s="40">
        <f>1</f>
        <v>1</v>
      </c>
    </row>
    <row r="214" spans="1:39" x14ac:dyDescent="0.25">
      <c r="A214" s="587">
        <v>188</v>
      </c>
      <c r="B214" s="621" t="s">
        <v>1287</v>
      </c>
      <c r="C214" s="100">
        <v>44959</v>
      </c>
      <c r="D214" s="578" t="s">
        <v>753</v>
      </c>
      <c r="E214" s="54" t="s">
        <v>889</v>
      </c>
      <c r="F214" s="589">
        <v>970540007997</v>
      </c>
      <c r="G214" s="54" t="s">
        <v>872</v>
      </c>
      <c r="H214" s="590">
        <v>111240020442</v>
      </c>
      <c r="I214" s="564">
        <v>1843376079</v>
      </c>
      <c r="J214" s="264">
        <v>7489.55</v>
      </c>
      <c r="K214" s="264">
        <v>4666.8599999999997</v>
      </c>
      <c r="L214" s="264">
        <v>524.12</v>
      </c>
      <c r="M214" s="264">
        <v>246</v>
      </c>
      <c r="N214" s="264">
        <v>478</v>
      </c>
      <c r="O214" s="100">
        <v>44981</v>
      </c>
      <c r="P214" s="98">
        <v>88</v>
      </c>
      <c r="Q214" s="564">
        <v>88</v>
      </c>
      <c r="R214" s="578">
        <v>12</v>
      </c>
      <c r="S214" s="100">
        <v>44923</v>
      </c>
      <c r="T214" s="100">
        <v>45197</v>
      </c>
      <c r="U214" s="100">
        <v>45288</v>
      </c>
      <c r="V214" s="100">
        <v>45379</v>
      </c>
      <c r="W214" s="578"/>
      <c r="X214" s="100">
        <v>45379</v>
      </c>
      <c r="Y214" s="98">
        <v>18433761</v>
      </c>
      <c r="Z214" s="35" t="s">
        <v>1345</v>
      </c>
      <c r="AA214" s="100"/>
      <c r="AB214" s="100" t="s">
        <v>2052</v>
      </c>
      <c r="AC214" s="100"/>
      <c r="AD214" s="98">
        <v>68</v>
      </c>
      <c r="AE214" s="618"/>
      <c r="AF214" s="618"/>
      <c r="AG214" s="618">
        <v>315</v>
      </c>
      <c r="AH214" s="618"/>
      <c r="AI214" s="587" t="s">
        <v>23</v>
      </c>
      <c r="AJ214" s="578" t="s">
        <v>23</v>
      </c>
      <c r="AK214" s="40" t="str">
        <f t="shared" si="7"/>
        <v>2023 год</v>
      </c>
      <c r="AL214" s="40" t="str">
        <f t="shared" si="6"/>
        <v>2023 год</v>
      </c>
      <c r="AM214" s="40">
        <f>1</f>
        <v>1</v>
      </c>
    </row>
    <row r="215" spans="1:39" x14ac:dyDescent="0.25">
      <c r="A215" s="587">
        <v>189</v>
      </c>
      <c r="B215" s="624" t="s">
        <v>1616</v>
      </c>
      <c r="C215" s="528">
        <v>45197</v>
      </c>
      <c r="D215" s="591" t="s">
        <v>452</v>
      </c>
      <c r="E215" s="591" t="s">
        <v>1567</v>
      </c>
      <c r="F215" s="602" t="s">
        <v>1648</v>
      </c>
      <c r="G215" s="591" t="s">
        <v>1568</v>
      </c>
      <c r="H215" s="602" t="s">
        <v>1649</v>
      </c>
      <c r="I215" s="525">
        <v>3185310492</v>
      </c>
      <c r="J215" s="526">
        <v>11855.25</v>
      </c>
      <c r="K215" s="526">
        <v>8687.7000000000007</v>
      </c>
      <c r="L215" s="526">
        <v>62.81</v>
      </c>
      <c r="M215" s="526">
        <v>269</v>
      </c>
      <c r="N215" s="526">
        <v>367</v>
      </c>
      <c r="O215" s="528">
        <v>45222</v>
      </c>
      <c r="P215" s="591">
        <v>174</v>
      </c>
      <c r="Q215" s="530">
        <v>174</v>
      </c>
      <c r="R215" s="591">
        <v>5</v>
      </c>
      <c r="S215" s="528">
        <v>45148</v>
      </c>
      <c r="T215" s="528">
        <v>45483</v>
      </c>
      <c r="U215" s="528">
        <v>45575</v>
      </c>
      <c r="V215" s="528"/>
      <c r="W215" s="591"/>
      <c r="X215" s="528">
        <v>45558</v>
      </c>
      <c r="Y215" s="525">
        <v>31853105</v>
      </c>
      <c r="Z215" s="522" t="s">
        <v>1610</v>
      </c>
      <c r="AA215" s="528"/>
      <c r="AB215" s="528" t="s">
        <v>1549</v>
      </c>
      <c r="AC215" s="528"/>
      <c r="AD215" s="525">
        <v>63</v>
      </c>
      <c r="AE215" s="618"/>
      <c r="AF215" s="618"/>
      <c r="AG215" s="618">
        <v>428</v>
      </c>
      <c r="AH215" s="618"/>
      <c r="AI215" s="628" t="s">
        <v>452</v>
      </c>
      <c r="AJ215" s="591" t="s">
        <v>452</v>
      </c>
      <c r="AK215" s="40" t="str">
        <f t="shared" si="7"/>
        <v>2023 год</v>
      </c>
      <c r="AL215" s="40" t="str">
        <f t="shared" si="6"/>
        <v>2023 год</v>
      </c>
      <c r="AM215" s="40">
        <f>1</f>
        <v>1</v>
      </c>
    </row>
    <row r="216" spans="1:39" s="519" customFormat="1" x14ac:dyDescent="0.25">
      <c r="A216" s="603">
        <v>190</v>
      </c>
      <c r="B216" s="624" t="s">
        <v>1337</v>
      </c>
      <c r="C216" s="528">
        <v>45023</v>
      </c>
      <c r="D216" s="591" t="s">
        <v>1179</v>
      </c>
      <c r="E216" s="604" t="s">
        <v>791</v>
      </c>
      <c r="F216" s="605" t="s">
        <v>1621</v>
      </c>
      <c r="G216" s="604" t="s">
        <v>1402</v>
      </c>
      <c r="H216" s="606" t="s">
        <v>1622</v>
      </c>
      <c r="I216" s="530">
        <v>5965384158</v>
      </c>
      <c r="J216" s="607">
        <v>18957.580000000002</v>
      </c>
      <c r="K216" s="607">
        <v>14731.84</v>
      </c>
      <c r="L216" s="607">
        <v>928.15</v>
      </c>
      <c r="M216" s="607">
        <v>315</v>
      </c>
      <c r="N216" s="607">
        <v>396</v>
      </c>
      <c r="O216" s="528">
        <v>45063</v>
      </c>
      <c r="P216" s="525">
        <v>206</v>
      </c>
      <c r="Q216" s="530">
        <v>211</v>
      </c>
      <c r="R216" s="591">
        <v>9</v>
      </c>
      <c r="S216" s="528">
        <v>44945</v>
      </c>
      <c r="T216" s="528">
        <v>45370</v>
      </c>
      <c r="U216" s="528">
        <v>45462</v>
      </c>
      <c r="V216" s="528">
        <v>45554</v>
      </c>
      <c r="W216" s="591"/>
      <c r="X216" s="528">
        <v>45553</v>
      </c>
      <c r="Y216" s="525">
        <v>58254179</v>
      </c>
      <c r="Z216" s="522" t="s">
        <v>1429</v>
      </c>
      <c r="AA216" s="528"/>
      <c r="AB216" s="528" t="s">
        <v>1525</v>
      </c>
      <c r="AC216" s="528"/>
      <c r="AD216" s="525">
        <v>68</v>
      </c>
      <c r="AE216" s="629"/>
      <c r="AF216" s="629"/>
      <c r="AG216" s="629">
        <v>347</v>
      </c>
      <c r="AH216" s="629"/>
      <c r="AI216" s="628" t="s">
        <v>1179</v>
      </c>
      <c r="AJ216" s="591" t="s">
        <v>1179</v>
      </c>
      <c r="AK216" s="619" t="str">
        <f t="shared" si="7"/>
        <v>2023 год</v>
      </c>
      <c r="AL216" s="619" t="str">
        <f t="shared" si="6"/>
        <v>2023 год</v>
      </c>
      <c r="AM216" s="619">
        <f>1</f>
        <v>1</v>
      </c>
    </row>
    <row r="217" spans="1:39" s="519" customFormat="1" ht="31.5" x14ac:dyDescent="0.25">
      <c r="A217" s="603" t="s">
        <v>28</v>
      </c>
      <c r="B217" s="624" t="s">
        <v>1661</v>
      </c>
      <c r="C217" s="528">
        <v>45288</v>
      </c>
      <c r="D217" s="591" t="s">
        <v>1179</v>
      </c>
      <c r="E217" s="604" t="s">
        <v>791</v>
      </c>
      <c r="F217" s="605" t="s">
        <v>1621</v>
      </c>
      <c r="G217" s="604" t="s">
        <v>1402</v>
      </c>
      <c r="H217" s="606" t="s">
        <v>1622</v>
      </c>
      <c r="I217" s="530">
        <v>219185995</v>
      </c>
      <c r="J217" s="607"/>
      <c r="K217" s="607"/>
      <c r="L217" s="607"/>
      <c r="M217" s="607"/>
      <c r="N217" s="607"/>
      <c r="O217" s="528">
        <v>45310</v>
      </c>
      <c r="P217" s="525"/>
      <c r="Q217" s="530"/>
      <c r="R217" s="591" t="s">
        <v>28</v>
      </c>
      <c r="S217" s="528">
        <v>45134</v>
      </c>
      <c r="T217" s="528">
        <v>45370</v>
      </c>
      <c r="U217" s="528">
        <v>45462</v>
      </c>
      <c r="V217" s="528">
        <v>45554</v>
      </c>
      <c r="W217" s="591"/>
      <c r="X217" s="528">
        <v>45553</v>
      </c>
      <c r="Y217" s="525">
        <v>2191860</v>
      </c>
      <c r="Z217" s="522" t="s">
        <v>2403</v>
      </c>
      <c r="AA217" s="528"/>
      <c r="AB217" s="528" t="s">
        <v>1525</v>
      </c>
      <c r="AC217" s="528"/>
      <c r="AD217" s="525">
        <v>68</v>
      </c>
      <c r="AE217" s="629"/>
      <c r="AF217" s="629"/>
      <c r="AG217" s="629"/>
      <c r="AH217" s="629"/>
      <c r="AI217" s="628"/>
      <c r="AJ217" s="591" t="s">
        <v>1179</v>
      </c>
      <c r="AK217" s="619"/>
      <c r="AL217" s="619" t="str">
        <f t="shared" si="6"/>
        <v>2024 год</v>
      </c>
      <c r="AM217" s="619"/>
    </row>
    <row r="218" spans="1:39" ht="20.25" x14ac:dyDescent="0.25">
      <c r="A218" s="650" t="s">
        <v>2402</v>
      </c>
      <c r="B218" s="651"/>
      <c r="C218" s="651"/>
      <c r="D218" s="652"/>
      <c r="E218" s="65"/>
      <c r="F218" s="65"/>
      <c r="G218" s="65"/>
      <c r="H218" s="65"/>
      <c r="I218" s="38">
        <f>SUBTOTAL(109,ТаблицаЗ[Стоимость, тенге])</f>
        <v>891770127090</v>
      </c>
      <c r="J218" s="38">
        <f>SUBTOTAL(109,ТаблицаЗ[Площадь, кв.м по Проекту])</f>
        <v>4781059.7499999981</v>
      </c>
      <c r="K218" s="38"/>
      <c r="L218" s="38"/>
      <c r="M218" s="38"/>
      <c r="N218" s="38"/>
      <c r="O218" s="38"/>
      <c r="P218" s="38">
        <f>SUBTOTAL(109,ТаблицаЗ[Количество квартир по Проекту])</f>
        <v>53854</v>
      </c>
      <c r="Q218" s="38">
        <f>SUBTOTAL(109,ТаблицаЗ[Количество квартир по факту (после ввода)*])</f>
        <v>55361</v>
      </c>
      <c r="R218" s="67"/>
      <c r="S218" s="67"/>
      <c r="T218" s="66"/>
      <c r="U218" s="66"/>
      <c r="V218" s="66"/>
      <c r="W218" s="66"/>
      <c r="X218" s="66"/>
      <c r="Y218" s="38">
        <f>SUBTOTAL(109,ТаблицаЗ[Гарантийный взнос, тенге])</f>
        <v>10668622437.290001</v>
      </c>
      <c r="Z218" s="38"/>
      <c r="AA218" s="38">
        <f>SUBTOTAL(109,ТаблицаЗ[[Итоговая стоимость с учетом снижения обязательств ]])</f>
        <v>103857330333.5</v>
      </c>
      <c r="AB218" s="38"/>
      <c r="AC218" s="38"/>
      <c r="AD218" s="38"/>
      <c r="AE218" s="38"/>
      <c r="AF218" s="38"/>
      <c r="AG218" s="38"/>
      <c r="AH218" s="38"/>
      <c r="AM218" s="38">
        <f>SUBTOTAL(109,ТаблицаЗ[Статус])</f>
        <v>190</v>
      </c>
    </row>
    <row r="219" spans="1:39" ht="16.5" x14ac:dyDescent="0.25">
      <c r="A219" s="108" t="s">
        <v>158</v>
      </c>
      <c r="B219" s="108"/>
      <c r="C219" s="108"/>
      <c r="D219" s="108"/>
      <c r="E219" s="108"/>
      <c r="F219" s="108"/>
      <c r="G219" s="108"/>
      <c r="H219" s="108"/>
    </row>
    <row r="221" spans="1:39" x14ac:dyDescent="0.25">
      <c r="G221" s="71"/>
      <c r="H221" s="71"/>
      <c r="I221" s="70"/>
      <c r="O221" s="71"/>
    </row>
    <row r="222" spans="1:39" ht="60.75" x14ac:dyDescent="0.25">
      <c r="B222" s="17"/>
      <c r="D222" s="68" t="s">
        <v>159</v>
      </c>
      <c r="E222" s="68" t="s">
        <v>160</v>
      </c>
      <c r="F222" s="68" t="s">
        <v>1117</v>
      </c>
      <c r="G222" s="68" t="s">
        <v>1742</v>
      </c>
      <c r="H222" s="71"/>
      <c r="I222" s="608"/>
      <c r="J222" s="71"/>
      <c r="K222" s="71"/>
      <c r="L222" s="71"/>
      <c r="M222" s="71"/>
      <c r="N222" s="71"/>
      <c r="O222" s="114"/>
      <c r="P222" s="81"/>
      <c r="Q222" s="81"/>
      <c r="R222" s="81"/>
    </row>
    <row r="223" spans="1:39" ht="19.5" x14ac:dyDescent="0.25">
      <c r="B223" s="653" t="s">
        <v>164</v>
      </c>
      <c r="C223" s="653"/>
      <c r="D223" s="69">
        <f>AM218</f>
        <v>190</v>
      </c>
      <c r="E223" s="69">
        <f>J218</f>
        <v>4781059.7499999981</v>
      </c>
      <c r="F223" s="69">
        <f>I218</f>
        <v>891770127090</v>
      </c>
      <c r="G223" s="69">
        <f>Q218</f>
        <v>55361</v>
      </c>
      <c r="H223" s="609"/>
      <c r="I223" s="138"/>
      <c r="J223" s="133"/>
      <c r="K223" s="133"/>
      <c r="L223" s="133"/>
      <c r="M223" s="133"/>
      <c r="N223" s="133"/>
      <c r="O223" s="19" t="s">
        <v>1697</v>
      </c>
      <c r="P223" s="610"/>
      <c r="Q223" s="610"/>
      <c r="R223" s="72"/>
    </row>
    <row r="224" spans="1:39" ht="16.5" thickBot="1" x14ac:dyDescent="0.3">
      <c r="G224" s="71"/>
      <c r="H224" s="110"/>
      <c r="I224" s="71"/>
      <c r="J224" s="71"/>
      <c r="K224" s="71"/>
      <c r="L224" s="71"/>
      <c r="M224" s="71"/>
      <c r="N224" s="71"/>
    </row>
    <row r="225" spans="2:15" ht="41.25" thickBot="1" x14ac:dyDescent="0.3">
      <c r="B225" s="249" t="s">
        <v>1152</v>
      </c>
      <c r="C225" s="251" t="s">
        <v>159</v>
      </c>
      <c r="D225" s="250" t="s">
        <v>1117</v>
      </c>
      <c r="E225" s="248" t="s">
        <v>160</v>
      </c>
      <c r="F225" s="252" t="s">
        <v>161</v>
      </c>
      <c r="G225" s="251" t="s">
        <v>1767</v>
      </c>
      <c r="I225" s="70"/>
    </row>
    <row r="226" spans="2:15" ht="20.25" x14ac:dyDescent="0.25">
      <c r="B226" s="611" t="s">
        <v>1153</v>
      </c>
      <c r="C226" s="247">
        <f>COUNTIF($AK$4:$AK$217,$B226)</f>
        <v>2</v>
      </c>
      <c r="D226" s="247">
        <f>SUMIF($AL$4:$AL$217,$B226,$I$4:$I$217)</f>
        <v>9383792080</v>
      </c>
      <c r="E226" s="247">
        <f>SUMIF($AL$4:$AL$217,$B226,$J$4:$J$217)</f>
        <v>49371.3</v>
      </c>
      <c r="F226" s="247">
        <f>SUMIF($AL$4:$AL$217,$B226,$P$4:$P$217)</f>
        <v>578</v>
      </c>
      <c r="G226" s="247">
        <f>SUMIF($AL$4:$AL$217,$B226,$Q$4:$Q$217)</f>
        <v>574</v>
      </c>
    </row>
    <row r="227" spans="2:15" ht="20.25" x14ac:dyDescent="0.25">
      <c r="B227" s="612" t="s">
        <v>1154</v>
      </c>
      <c r="C227" s="247">
        <f t="shared" ref="C227:C233" si="8">COUNTIF($AK$4:$AK$217,$B227)</f>
        <v>16</v>
      </c>
      <c r="D227" s="247">
        <f t="shared" ref="D227:D233" si="9">SUMIF($AL$4:$AL$217,$B227,$I$4:$I$217)</f>
        <v>56621715974</v>
      </c>
      <c r="E227" s="247">
        <f t="shared" ref="E227:E233" si="10">SUMIF($AL$4:$AL$217,$B227,$J$4:$J$217)</f>
        <v>358067.79999999993</v>
      </c>
      <c r="F227" s="247">
        <f t="shared" ref="F227:F233" si="11">SUMIF($AL$4:$AL$217,$B227,$P$4:$P$217)</f>
        <v>4378</v>
      </c>
      <c r="G227" s="247">
        <f t="shared" ref="G227:G233" si="12">SUMIF($AL$4:$AL$217,$B227,$Q$4:$Q$217)</f>
        <v>4713</v>
      </c>
      <c r="H227" s="71"/>
    </row>
    <row r="228" spans="2:15" ht="20.25" x14ac:dyDescent="0.25">
      <c r="B228" s="612" t="s">
        <v>1155</v>
      </c>
      <c r="C228" s="247">
        <f t="shared" si="8"/>
        <v>24</v>
      </c>
      <c r="D228" s="247">
        <f t="shared" si="9"/>
        <v>90883205479</v>
      </c>
      <c r="E228" s="247">
        <f t="shared" si="10"/>
        <v>530593.09</v>
      </c>
      <c r="F228" s="247">
        <f t="shared" si="11"/>
        <v>6067</v>
      </c>
      <c r="G228" s="247">
        <f t="shared" si="12"/>
        <v>6145</v>
      </c>
    </row>
    <row r="229" spans="2:15" ht="20.25" x14ac:dyDescent="0.25">
      <c r="B229" s="612" t="s">
        <v>1148</v>
      </c>
      <c r="C229" s="247">
        <f t="shared" si="8"/>
        <v>27</v>
      </c>
      <c r="D229" s="247">
        <f t="shared" si="9"/>
        <v>112169197898</v>
      </c>
      <c r="E229" s="247">
        <f t="shared" si="10"/>
        <v>705461.04999999993</v>
      </c>
      <c r="F229" s="247">
        <f t="shared" si="11"/>
        <v>8425</v>
      </c>
      <c r="G229" s="247">
        <f t="shared" si="12"/>
        <v>8828</v>
      </c>
    </row>
    <row r="230" spans="2:15" ht="20.25" x14ac:dyDescent="0.25">
      <c r="B230" s="612" t="s">
        <v>1149</v>
      </c>
      <c r="C230" s="247">
        <f t="shared" si="8"/>
        <v>69</v>
      </c>
      <c r="D230" s="247">
        <f t="shared" si="9"/>
        <v>353425107689</v>
      </c>
      <c r="E230" s="247">
        <f t="shared" si="10"/>
        <v>1893325.4399999997</v>
      </c>
      <c r="F230" s="247">
        <f t="shared" si="11"/>
        <v>20284</v>
      </c>
      <c r="G230" s="247">
        <f t="shared" si="12"/>
        <v>20763</v>
      </c>
    </row>
    <row r="231" spans="2:15" ht="20.25" x14ac:dyDescent="0.25">
      <c r="B231" s="612" t="s">
        <v>1150</v>
      </c>
      <c r="C231" s="247">
        <f t="shared" si="8"/>
        <v>31</v>
      </c>
      <c r="D231" s="247">
        <f t="shared" si="9"/>
        <v>196154054444</v>
      </c>
      <c r="E231" s="247">
        <f t="shared" si="10"/>
        <v>986337.46000000008</v>
      </c>
      <c r="F231" s="247">
        <f t="shared" si="11"/>
        <v>11074</v>
      </c>
      <c r="G231" s="247">
        <f t="shared" si="12"/>
        <v>11229</v>
      </c>
    </row>
    <row r="232" spans="2:15" ht="20.25" x14ac:dyDescent="0.25">
      <c r="B232" s="613" t="s">
        <v>1289</v>
      </c>
      <c r="C232" s="247">
        <f t="shared" si="8"/>
        <v>20</v>
      </c>
      <c r="D232" s="247">
        <f t="shared" si="9"/>
        <v>70233975981</v>
      </c>
      <c r="E232" s="247">
        <f t="shared" si="10"/>
        <v>250686.26</v>
      </c>
      <c r="F232" s="247">
        <f t="shared" si="11"/>
        <v>2942</v>
      </c>
      <c r="G232" s="247">
        <f t="shared" si="12"/>
        <v>3003</v>
      </c>
      <c r="H232" s="71"/>
    </row>
    <row r="233" spans="2:15" ht="21" thickBot="1" x14ac:dyDescent="0.3">
      <c r="B233" s="613" t="s">
        <v>1679</v>
      </c>
      <c r="C233" s="247">
        <f t="shared" si="8"/>
        <v>1</v>
      </c>
      <c r="D233" s="247">
        <f t="shared" si="9"/>
        <v>2899077545</v>
      </c>
      <c r="E233" s="247">
        <f t="shared" si="10"/>
        <v>7217.35</v>
      </c>
      <c r="F233" s="247">
        <f t="shared" si="11"/>
        <v>106</v>
      </c>
      <c r="G233" s="247">
        <f t="shared" si="12"/>
        <v>106</v>
      </c>
      <c r="H233" s="71"/>
    </row>
    <row r="234" spans="2:15" ht="21" thickBot="1" x14ac:dyDescent="0.3">
      <c r="B234" s="614" t="s">
        <v>18</v>
      </c>
      <c r="C234" s="245">
        <f>SUM(C226:C233)</f>
        <v>190</v>
      </c>
      <c r="D234" s="245">
        <f t="shared" ref="D234:F234" si="13">SUM(D226:D233)</f>
        <v>891770127090</v>
      </c>
      <c r="E234" s="245">
        <f t="shared" si="13"/>
        <v>4781059.7499999991</v>
      </c>
      <c r="F234" s="245">
        <f t="shared" si="13"/>
        <v>53854</v>
      </c>
      <c r="G234" s="245">
        <f>SUM(G226:G233)</f>
        <v>55361</v>
      </c>
    </row>
    <row r="235" spans="2:15" ht="16.5" thickBot="1" x14ac:dyDescent="0.3">
      <c r="G235" s="71"/>
      <c r="H235" s="71"/>
      <c r="O235" s="71"/>
    </row>
    <row r="236" spans="2:15" ht="41.25" thickBot="1" x14ac:dyDescent="0.3">
      <c r="B236" s="249" t="s">
        <v>170</v>
      </c>
      <c r="C236" s="251" t="s">
        <v>159</v>
      </c>
      <c r="D236" s="250" t="s">
        <v>1117</v>
      </c>
      <c r="E236" s="248" t="s">
        <v>160</v>
      </c>
      <c r="F236" s="252" t="s">
        <v>161</v>
      </c>
      <c r="G236" s="251" t="s">
        <v>1767</v>
      </c>
    </row>
    <row r="237" spans="2:15" ht="19.5" x14ac:dyDescent="0.25">
      <c r="B237" s="615" t="s">
        <v>1179</v>
      </c>
      <c r="C237" s="247">
        <f>COUNTIF($AI$4:$AI$217,$B237)</f>
        <v>104</v>
      </c>
      <c r="D237" s="247">
        <f>SUMIF($AJ$4:$AJ$217,$B237,$I$4:$I$217)</f>
        <v>489865029079</v>
      </c>
      <c r="E237" s="247">
        <f>SUMIF($AJ$4:$AJ$217,$B237,$J$4:$J$217)</f>
        <v>2342437.5499999998</v>
      </c>
      <c r="F237" s="247">
        <f>SUMIF($AJ$4:$AJ$217,$B237,$P$4:$P$217)</f>
        <v>23952</v>
      </c>
      <c r="G237" s="247">
        <f>SUMIF($AJ$4:$AJ$217,$B237,$Q$4:$Q$217)</f>
        <v>24220</v>
      </c>
    </row>
    <row r="238" spans="2:15" ht="19.5" x14ac:dyDescent="0.25">
      <c r="B238" s="616" t="s">
        <v>23</v>
      </c>
      <c r="C238" s="247">
        <f t="shared" ref="C238:C246" si="14">COUNTIF($AI$4:$AI$217,$B238)</f>
        <v>49</v>
      </c>
      <c r="D238" s="247">
        <f t="shared" ref="D238:D246" si="15">SUMIF($AJ$4:$AJ$217,$B238,$I$4:$I$217)</f>
        <v>267922917915</v>
      </c>
      <c r="E238" s="247">
        <f t="shared" ref="E238:E246" si="16">SUMIF($AJ$4:$AJ$217,$B238,$J$4:$J$217)</f>
        <v>1803710.7500000007</v>
      </c>
      <c r="F238" s="247">
        <f t="shared" ref="F238:F246" si="17">SUMIF($AJ$4:$AJ$217,$B238,$P$4:$P$217)</f>
        <v>23378</v>
      </c>
      <c r="G238" s="247">
        <f t="shared" ref="G238:G246" si="18">SUMIF($AJ$4:$AJ$217,$B238,$Q$4:$Q$217)</f>
        <v>24544</v>
      </c>
    </row>
    <row r="239" spans="2:15" ht="19.5" x14ac:dyDescent="0.25">
      <c r="B239" s="616" t="s">
        <v>1843</v>
      </c>
      <c r="C239" s="247">
        <f t="shared" si="14"/>
        <v>9</v>
      </c>
      <c r="D239" s="247">
        <f t="shared" si="15"/>
        <v>23824872919</v>
      </c>
      <c r="E239" s="247">
        <f t="shared" si="16"/>
        <v>99644.9</v>
      </c>
      <c r="F239" s="247">
        <f t="shared" si="17"/>
        <v>1289</v>
      </c>
      <c r="G239" s="247">
        <f t="shared" si="18"/>
        <v>1298</v>
      </c>
    </row>
    <row r="240" spans="2:15" ht="19.5" x14ac:dyDescent="0.25">
      <c r="B240" s="616" t="s">
        <v>175</v>
      </c>
      <c r="C240" s="247">
        <f t="shared" si="14"/>
        <v>2</v>
      </c>
      <c r="D240" s="247">
        <f t="shared" si="15"/>
        <v>3904553270</v>
      </c>
      <c r="E240" s="247">
        <f t="shared" si="16"/>
        <v>22068.06</v>
      </c>
      <c r="F240" s="247">
        <f t="shared" si="17"/>
        <v>262</v>
      </c>
      <c r="G240" s="247">
        <f t="shared" si="18"/>
        <v>262</v>
      </c>
    </row>
    <row r="241" spans="2:15" ht="19.5" x14ac:dyDescent="0.25">
      <c r="B241" s="616" t="s">
        <v>174</v>
      </c>
      <c r="C241" s="247">
        <f t="shared" si="14"/>
        <v>16</v>
      </c>
      <c r="D241" s="247">
        <f t="shared" si="15"/>
        <v>69465437218</v>
      </c>
      <c r="E241" s="247">
        <f t="shared" si="16"/>
        <v>285546.73999999993</v>
      </c>
      <c r="F241" s="247">
        <f t="shared" si="17"/>
        <v>2457</v>
      </c>
      <c r="G241" s="247">
        <f t="shared" si="18"/>
        <v>2477</v>
      </c>
    </row>
    <row r="242" spans="2:15" ht="19.5" x14ac:dyDescent="0.25">
      <c r="B242" s="616" t="s">
        <v>212</v>
      </c>
      <c r="C242" s="247">
        <f t="shared" si="14"/>
        <v>1</v>
      </c>
      <c r="D242" s="247">
        <f t="shared" si="15"/>
        <v>3779124848</v>
      </c>
      <c r="E242" s="247">
        <f t="shared" si="16"/>
        <v>24702.9</v>
      </c>
      <c r="F242" s="247">
        <f t="shared" si="17"/>
        <v>287</v>
      </c>
      <c r="G242" s="247">
        <f t="shared" si="18"/>
        <v>287</v>
      </c>
    </row>
    <row r="243" spans="2:15" ht="19.5" x14ac:dyDescent="0.25">
      <c r="B243" s="616" t="s">
        <v>369</v>
      </c>
      <c r="C243" s="247">
        <f t="shared" si="14"/>
        <v>1</v>
      </c>
      <c r="D243" s="247">
        <f t="shared" si="15"/>
        <v>6875823064</v>
      </c>
      <c r="E243" s="247">
        <f t="shared" si="16"/>
        <v>42456.800000000003</v>
      </c>
      <c r="F243" s="247">
        <f t="shared" si="17"/>
        <v>540</v>
      </c>
      <c r="G243" s="247">
        <f t="shared" si="18"/>
        <v>529</v>
      </c>
    </row>
    <row r="244" spans="2:15" ht="19.5" x14ac:dyDescent="0.25">
      <c r="B244" s="616" t="s">
        <v>176</v>
      </c>
      <c r="C244" s="247">
        <f t="shared" si="14"/>
        <v>5</v>
      </c>
      <c r="D244" s="247">
        <f t="shared" si="15"/>
        <v>17769123346</v>
      </c>
      <c r="E244" s="247">
        <f t="shared" si="16"/>
        <v>110568.49999999999</v>
      </c>
      <c r="F244" s="247">
        <f t="shared" si="17"/>
        <v>1054</v>
      </c>
      <c r="G244" s="247">
        <f t="shared" si="18"/>
        <v>1109</v>
      </c>
    </row>
    <row r="245" spans="2:15" ht="19.5" x14ac:dyDescent="0.25">
      <c r="B245" s="616" t="s">
        <v>452</v>
      </c>
      <c r="C245" s="247">
        <f t="shared" si="14"/>
        <v>2</v>
      </c>
      <c r="D245" s="247">
        <f t="shared" si="15"/>
        <v>6615185630</v>
      </c>
      <c r="E245" s="247">
        <f t="shared" si="16"/>
        <v>37202.35</v>
      </c>
      <c r="F245" s="247">
        <f t="shared" si="17"/>
        <v>445</v>
      </c>
      <c r="G245" s="247">
        <f t="shared" si="18"/>
        <v>445</v>
      </c>
    </row>
    <row r="246" spans="2:15" ht="20.25" thickBot="1" x14ac:dyDescent="0.3">
      <c r="B246" s="617" t="s">
        <v>1835</v>
      </c>
      <c r="C246" s="247">
        <f t="shared" si="14"/>
        <v>1</v>
      </c>
      <c r="D246" s="247">
        <f t="shared" si="15"/>
        <v>1748059801</v>
      </c>
      <c r="E246" s="247">
        <f t="shared" si="16"/>
        <v>12721.2</v>
      </c>
      <c r="F246" s="247">
        <f t="shared" si="17"/>
        <v>190</v>
      </c>
      <c r="G246" s="247">
        <f t="shared" si="18"/>
        <v>190</v>
      </c>
    </row>
    <row r="247" spans="2:15" ht="21" thickBot="1" x14ac:dyDescent="0.3">
      <c r="B247" s="614" t="s">
        <v>18</v>
      </c>
      <c r="C247" s="245">
        <f>SUM(C237:C246)</f>
        <v>190</v>
      </c>
      <c r="D247" s="246">
        <f>SUM(D237:D246)</f>
        <v>891770127090</v>
      </c>
      <c r="E247" s="245">
        <f>SUM(E237:E246)</f>
        <v>4781059.7500000009</v>
      </c>
      <c r="F247" s="246">
        <f>SUM(F237:F246)</f>
        <v>53854</v>
      </c>
      <c r="G247" s="245">
        <f>SUM(G237:G246)</f>
        <v>55361</v>
      </c>
    </row>
    <row r="248" spans="2:15" x14ac:dyDescent="0.25">
      <c r="G248" s="71"/>
      <c r="H248" s="71"/>
      <c r="O248" s="71"/>
    </row>
  </sheetData>
  <sheetProtection formatCells="0" formatColumns="0" formatRows="0" insertColumns="0" insertRows="0" insertHyperlinks="0" deleteColumns="0" deleteRows="0" sort="0" autoFilter="0" pivotTables="0"/>
  <mergeCells count="2">
    <mergeCell ref="A218:D218"/>
    <mergeCell ref="B223:C223"/>
  </mergeCells>
  <phoneticPr fontId="10" type="noConversion"/>
  <pageMargins left="0.23622047244094491" right="0.15748031496062992" top="0.43307086614173229" bottom="0.27559055118110237" header="0.31496062992125984" footer="0.31496062992125984"/>
  <pageSetup paperSize="9" scale="55" fitToHeight="0" orientation="landscape" r:id="rId1"/>
  <headerFooter>
    <oddFooter>&amp;C&amp;P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opLeftCell="A25" workbookViewId="0">
      <selection activeCell="B60" sqref="B60"/>
    </sheetView>
  </sheetViews>
  <sheetFormatPr defaultRowHeight="15" x14ac:dyDescent="0.25"/>
  <cols>
    <col min="2" max="2" width="60.140625" bestFit="1" customWidth="1"/>
    <col min="4" max="4" width="8.5703125" bestFit="1" customWidth="1"/>
    <col min="5" max="5" width="60.140625" bestFit="1" customWidth="1"/>
  </cols>
  <sheetData>
    <row r="1" spans="1:7" s="215" customFormat="1" x14ac:dyDescent="0.25">
      <c r="B1" s="215" t="s">
        <v>2376</v>
      </c>
      <c r="E1" s="215" t="s">
        <v>2375</v>
      </c>
    </row>
    <row r="2" spans="1:7" ht="15.75" x14ac:dyDescent="0.25">
      <c r="A2">
        <v>1</v>
      </c>
      <c r="B2" s="315" t="s">
        <v>0</v>
      </c>
      <c r="D2" t="b">
        <f>B2=E2</f>
        <v>1</v>
      </c>
      <c r="E2" s="315" t="s">
        <v>0</v>
      </c>
      <c r="F2" t="b">
        <f>B2=G2</f>
        <v>1</v>
      </c>
      <c r="G2" s="315" t="s">
        <v>0</v>
      </c>
    </row>
    <row r="3" spans="1:7" ht="15.75" x14ac:dyDescent="0.25">
      <c r="A3">
        <v>2</v>
      </c>
      <c r="B3" s="572" t="s">
        <v>794</v>
      </c>
      <c r="D3" t="b">
        <f t="shared" ref="D3:D40" si="0">B3=E3</f>
        <v>1</v>
      </c>
      <c r="E3" s="315" t="s">
        <v>794</v>
      </c>
      <c r="F3" t="b">
        <f t="shared" ref="F3:F40" si="1">B3=G3</f>
        <v>1</v>
      </c>
      <c r="G3" s="315" t="s">
        <v>794</v>
      </c>
    </row>
    <row r="4" spans="1:7" ht="15.75" x14ac:dyDescent="0.25">
      <c r="A4">
        <v>3</v>
      </c>
      <c r="B4" s="315" t="s">
        <v>751</v>
      </c>
      <c r="D4" t="b">
        <f t="shared" si="0"/>
        <v>1</v>
      </c>
      <c r="E4" s="315" t="s">
        <v>751</v>
      </c>
      <c r="F4" t="b">
        <f t="shared" si="1"/>
        <v>1</v>
      </c>
      <c r="G4" s="315" t="s">
        <v>751</v>
      </c>
    </row>
    <row r="5" spans="1:7" ht="15.75" x14ac:dyDescent="0.25">
      <c r="A5">
        <v>4</v>
      </c>
      <c r="B5" s="315" t="s">
        <v>752</v>
      </c>
      <c r="D5" t="b">
        <f t="shared" si="0"/>
        <v>1</v>
      </c>
      <c r="E5" s="315" t="s">
        <v>752</v>
      </c>
      <c r="F5" t="b">
        <f t="shared" si="1"/>
        <v>1</v>
      </c>
      <c r="G5" s="315" t="s">
        <v>752</v>
      </c>
    </row>
    <row r="6" spans="1:7" ht="15.75" x14ac:dyDescent="0.25">
      <c r="A6">
        <v>5</v>
      </c>
      <c r="B6" s="315" t="s">
        <v>749</v>
      </c>
      <c r="D6" t="b">
        <f t="shared" si="0"/>
        <v>1</v>
      </c>
      <c r="E6" s="315" t="s">
        <v>749</v>
      </c>
      <c r="F6" t="b">
        <f t="shared" si="1"/>
        <v>1</v>
      </c>
      <c r="G6" s="315" t="s">
        <v>749</v>
      </c>
    </row>
    <row r="7" spans="1:7" ht="15.75" x14ac:dyDescent="0.25">
      <c r="A7">
        <v>6</v>
      </c>
      <c r="B7" s="315" t="s">
        <v>1618</v>
      </c>
      <c r="D7" t="b">
        <f t="shared" si="0"/>
        <v>1</v>
      </c>
      <c r="E7" s="315" t="s">
        <v>1618</v>
      </c>
      <c r="F7" t="b">
        <f t="shared" si="1"/>
        <v>1</v>
      </c>
      <c r="G7" s="315" t="s">
        <v>1618</v>
      </c>
    </row>
    <row r="8" spans="1:7" ht="15.75" x14ac:dyDescent="0.25">
      <c r="A8">
        <v>7</v>
      </c>
      <c r="B8" s="315" t="s">
        <v>748</v>
      </c>
      <c r="D8" t="b">
        <f t="shared" si="0"/>
        <v>1</v>
      </c>
      <c r="E8" s="315" t="s">
        <v>748</v>
      </c>
      <c r="F8" t="b">
        <f t="shared" si="1"/>
        <v>1</v>
      </c>
      <c r="G8" s="315" t="s">
        <v>748</v>
      </c>
    </row>
    <row r="9" spans="1:7" ht="15.75" x14ac:dyDescent="0.25">
      <c r="A9">
        <v>8</v>
      </c>
      <c r="B9" s="315" t="s">
        <v>1619</v>
      </c>
      <c r="D9" t="b">
        <f t="shared" si="0"/>
        <v>1</v>
      </c>
      <c r="E9" s="315" t="s">
        <v>1619</v>
      </c>
      <c r="F9" t="b">
        <f t="shared" si="1"/>
        <v>1</v>
      </c>
      <c r="G9" s="315" t="s">
        <v>1619</v>
      </c>
    </row>
    <row r="10" spans="1:7" ht="15.75" x14ac:dyDescent="0.25">
      <c r="A10">
        <v>9</v>
      </c>
      <c r="B10" s="315" t="s">
        <v>26</v>
      </c>
      <c r="D10" t="b">
        <f t="shared" si="0"/>
        <v>1</v>
      </c>
      <c r="E10" s="315" t="s">
        <v>26</v>
      </c>
      <c r="F10" t="b">
        <f t="shared" si="1"/>
        <v>1</v>
      </c>
      <c r="G10" s="315" t="s">
        <v>26</v>
      </c>
    </row>
    <row r="11" spans="1:7" ht="15.75" x14ac:dyDescent="0.25">
      <c r="A11">
        <v>10</v>
      </c>
      <c r="B11" s="315" t="s">
        <v>27</v>
      </c>
      <c r="D11" t="b">
        <f t="shared" si="0"/>
        <v>1</v>
      </c>
      <c r="E11" s="315" t="s">
        <v>27</v>
      </c>
      <c r="F11" t="b">
        <f t="shared" si="1"/>
        <v>1</v>
      </c>
      <c r="G11" s="315" t="s">
        <v>27</v>
      </c>
    </row>
    <row r="12" spans="1:7" ht="15.75" x14ac:dyDescent="0.25">
      <c r="A12">
        <v>11</v>
      </c>
      <c r="B12" s="315" t="s">
        <v>2006</v>
      </c>
      <c r="D12" t="b">
        <f t="shared" si="0"/>
        <v>1</v>
      </c>
      <c r="E12" s="315" t="s">
        <v>2006</v>
      </c>
      <c r="F12" t="b">
        <f t="shared" si="1"/>
        <v>1</v>
      </c>
      <c r="G12" s="315" t="s">
        <v>2006</v>
      </c>
    </row>
    <row r="13" spans="1:7" ht="15.75" x14ac:dyDescent="0.25">
      <c r="A13">
        <v>12</v>
      </c>
      <c r="B13" s="315" t="s">
        <v>2374</v>
      </c>
      <c r="D13" t="b">
        <f t="shared" si="0"/>
        <v>1</v>
      </c>
      <c r="E13" s="315" t="s">
        <v>2374</v>
      </c>
      <c r="F13" t="b">
        <f t="shared" si="1"/>
        <v>1</v>
      </c>
      <c r="G13" s="315" t="s">
        <v>2374</v>
      </c>
    </row>
    <row r="14" spans="1:7" ht="18.75" x14ac:dyDescent="0.25">
      <c r="A14">
        <v>13</v>
      </c>
      <c r="B14" s="315" t="s">
        <v>676</v>
      </c>
      <c r="D14" t="b">
        <f t="shared" si="0"/>
        <v>1</v>
      </c>
      <c r="E14" s="315" t="s">
        <v>2420</v>
      </c>
      <c r="F14" t="b">
        <f t="shared" si="1"/>
        <v>1</v>
      </c>
      <c r="G14" s="315" t="s">
        <v>2420</v>
      </c>
    </row>
    <row r="15" spans="1:7" ht="18.75" x14ac:dyDescent="0.25">
      <c r="A15">
        <v>14</v>
      </c>
      <c r="B15" s="315" t="s">
        <v>677</v>
      </c>
      <c r="D15" t="b">
        <f t="shared" si="0"/>
        <v>1</v>
      </c>
      <c r="E15" s="315" t="s">
        <v>2421</v>
      </c>
      <c r="F15" t="b">
        <f t="shared" si="1"/>
        <v>1</v>
      </c>
      <c r="G15" s="315" t="s">
        <v>2421</v>
      </c>
    </row>
    <row r="16" spans="1:7" ht="15.75" x14ac:dyDescent="0.25">
      <c r="A16">
        <v>15</v>
      </c>
      <c r="B16" s="315" t="s">
        <v>56</v>
      </c>
      <c r="D16" t="b">
        <f t="shared" si="0"/>
        <v>1</v>
      </c>
      <c r="E16" s="315" t="s">
        <v>56</v>
      </c>
      <c r="F16" t="b">
        <f t="shared" si="1"/>
        <v>1</v>
      </c>
      <c r="G16" s="315" t="s">
        <v>56</v>
      </c>
    </row>
    <row r="17" spans="1:7" ht="15.75" x14ac:dyDescent="0.25">
      <c r="A17">
        <v>16</v>
      </c>
      <c r="B17" s="315" t="s">
        <v>30</v>
      </c>
      <c r="D17" t="b">
        <f t="shared" si="0"/>
        <v>1</v>
      </c>
      <c r="E17" s="315" t="s">
        <v>30</v>
      </c>
      <c r="F17" t="b">
        <f t="shared" si="1"/>
        <v>1</v>
      </c>
      <c r="G17" s="315" t="s">
        <v>30</v>
      </c>
    </row>
    <row r="18" spans="1:7" ht="15.75" x14ac:dyDescent="0.25">
      <c r="A18">
        <v>17</v>
      </c>
      <c r="B18" s="315" t="s">
        <v>57</v>
      </c>
      <c r="D18" t="b">
        <f t="shared" si="0"/>
        <v>1</v>
      </c>
      <c r="E18" s="315" t="s">
        <v>57</v>
      </c>
      <c r="F18" t="b">
        <f t="shared" si="1"/>
        <v>1</v>
      </c>
      <c r="G18" s="315" t="s">
        <v>57</v>
      </c>
    </row>
    <row r="19" spans="1:7" ht="15.75" x14ac:dyDescent="0.25">
      <c r="A19">
        <v>18</v>
      </c>
      <c r="B19" s="315" t="s">
        <v>31</v>
      </c>
      <c r="D19" t="b">
        <f t="shared" si="0"/>
        <v>1</v>
      </c>
      <c r="E19" s="315" t="s">
        <v>31</v>
      </c>
      <c r="F19" t="b">
        <f t="shared" si="1"/>
        <v>1</v>
      </c>
      <c r="G19" s="315" t="s">
        <v>31</v>
      </c>
    </row>
    <row r="20" spans="1:7" ht="15.75" x14ac:dyDescent="0.25">
      <c r="A20">
        <v>19</v>
      </c>
      <c r="B20" s="315" t="s">
        <v>33</v>
      </c>
      <c r="D20" t="b">
        <f t="shared" si="0"/>
        <v>1</v>
      </c>
      <c r="E20" s="315" t="s">
        <v>33</v>
      </c>
      <c r="F20" t="b">
        <f t="shared" si="1"/>
        <v>1</v>
      </c>
      <c r="G20" s="315" t="s">
        <v>33</v>
      </c>
    </row>
    <row r="21" spans="1:7" ht="15.75" x14ac:dyDescent="0.25">
      <c r="A21">
        <v>20</v>
      </c>
      <c r="B21" s="315" t="s">
        <v>34</v>
      </c>
      <c r="D21" t="b">
        <f t="shared" si="0"/>
        <v>1</v>
      </c>
      <c r="E21" s="315" t="s">
        <v>34</v>
      </c>
      <c r="F21" t="b">
        <f t="shared" si="1"/>
        <v>1</v>
      </c>
      <c r="G21" s="315" t="s">
        <v>34</v>
      </c>
    </row>
    <row r="22" spans="1:7" ht="15.75" x14ac:dyDescent="0.25">
      <c r="A22">
        <v>21</v>
      </c>
      <c r="B22" s="315" t="s">
        <v>807</v>
      </c>
      <c r="D22" t="b">
        <f t="shared" si="0"/>
        <v>1</v>
      </c>
      <c r="E22" s="315" t="s">
        <v>807</v>
      </c>
      <c r="F22" t="b">
        <f t="shared" si="1"/>
        <v>1</v>
      </c>
      <c r="G22" s="315" t="s">
        <v>807</v>
      </c>
    </row>
    <row r="23" spans="1:7" ht="15.75" x14ac:dyDescent="0.25">
      <c r="A23">
        <v>22</v>
      </c>
      <c r="B23" s="315" t="s">
        <v>808</v>
      </c>
      <c r="D23" t="b">
        <f t="shared" si="0"/>
        <v>1</v>
      </c>
      <c r="E23" s="315" t="s">
        <v>808</v>
      </c>
      <c r="F23" t="b">
        <f t="shared" si="1"/>
        <v>1</v>
      </c>
      <c r="G23" s="315" t="s">
        <v>808</v>
      </c>
    </row>
    <row r="24" spans="1:7" ht="15.75" x14ac:dyDescent="0.25">
      <c r="A24">
        <v>23</v>
      </c>
      <c r="B24" s="315" t="s">
        <v>809</v>
      </c>
      <c r="D24" t="b">
        <f t="shared" si="0"/>
        <v>1</v>
      </c>
      <c r="E24" s="315" t="s">
        <v>809</v>
      </c>
      <c r="F24" t="b">
        <f t="shared" si="1"/>
        <v>1</v>
      </c>
      <c r="G24" s="315" t="s">
        <v>809</v>
      </c>
    </row>
    <row r="25" spans="1:7" ht="15.75" x14ac:dyDescent="0.25">
      <c r="A25">
        <v>24</v>
      </c>
      <c r="B25" s="315" t="s">
        <v>2422</v>
      </c>
      <c r="D25" t="b">
        <f t="shared" si="0"/>
        <v>1</v>
      </c>
      <c r="E25" s="315" t="s">
        <v>2422</v>
      </c>
      <c r="F25" t="b">
        <f t="shared" si="1"/>
        <v>1</v>
      </c>
      <c r="G25" s="315" t="s">
        <v>2422</v>
      </c>
    </row>
    <row r="26" spans="1:7" ht="15.75" x14ac:dyDescent="0.25">
      <c r="A26">
        <v>25</v>
      </c>
      <c r="B26" s="315" t="s">
        <v>35</v>
      </c>
      <c r="D26" t="b">
        <f t="shared" si="0"/>
        <v>1</v>
      </c>
      <c r="E26" s="315" t="s">
        <v>35</v>
      </c>
      <c r="F26" t="b">
        <f t="shared" si="1"/>
        <v>1</v>
      </c>
      <c r="G26" s="315" t="s">
        <v>35</v>
      </c>
    </row>
    <row r="27" spans="1:7" ht="15.75" x14ac:dyDescent="0.25">
      <c r="A27">
        <v>26</v>
      </c>
      <c r="B27" s="315" t="s">
        <v>593</v>
      </c>
      <c r="D27" t="b">
        <f t="shared" si="0"/>
        <v>1</v>
      </c>
      <c r="E27" s="315" t="s">
        <v>593</v>
      </c>
      <c r="F27" t="b">
        <f t="shared" si="1"/>
        <v>1</v>
      </c>
      <c r="G27" s="315" t="s">
        <v>593</v>
      </c>
    </row>
    <row r="28" spans="1:7" ht="15.75" x14ac:dyDescent="0.25">
      <c r="A28">
        <v>27</v>
      </c>
      <c r="B28" s="316" t="s">
        <v>1480</v>
      </c>
      <c r="D28" t="b">
        <f t="shared" si="0"/>
        <v>1</v>
      </c>
      <c r="E28" s="315" t="s">
        <v>1480</v>
      </c>
      <c r="F28" t="b">
        <f t="shared" si="1"/>
        <v>1</v>
      </c>
      <c r="G28" s="316" t="s">
        <v>1480</v>
      </c>
    </row>
    <row r="29" spans="1:7" ht="15.75" x14ac:dyDescent="0.25">
      <c r="A29">
        <v>28</v>
      </c>
      <c r="B29" s="315" t="s">
        <v>592</v>
      </c>
      <c r="D29" t="b">
        <f t="shared" si="0"/>
        <v>1</v>
      </c>
      <c r="E29" s="315" t="s">
        <v>592</v>
      </c>
      <c r="F29" t="b">
        <f t="shared" si="1"/>
        <v>1</v>
      </c>
      <c r="G29" s="316" t="s">
        <v>592</v>
      </c>
    </row>
    <row r="30" spans="1:7" ht="15.75" x14ac:dyDescent="0.25">
      <c r="A30">
        <v>29</v>
      </c>
      <c r="B30" s="315" t="s">
        <v>2304</v>
      </c>
      <c r="D30" t="b">
        <f t="shared" si="0"/>
        <v>1</v>
      </c>
      <c r="E30" s="315" t="s">
        <v>2304</v>
      </c>
      <c r="F30" t="b">
        <f t="shared" si="1"/>
        <v>1</v>
      </c>
      <c r="G30" s="315" t="s">
        <v>2304</v>
      </c>
    </row>
    <row r="31" spans="1:7" ht="15.75" x14ac:dyDescent="0.25">
      <c r="A31">
        <v>30</v>
      </c>
      <c r="B31" s="317" t="s">
        <v>1546</v>
      </c>
      <c r="D31" t="b">
        <f t="shared" si="0"/>
        <v>1</v>
      </c>
      <c r="E31" s="315" t="s">
        <v>1546</v>
      </c>
      <c r="F31" t="b">
        <f t="shared" si="1"/>
        <v>1</v>
      </c>
      <c r="G31" s="318" t="s">
        <v>1546</v>
      </c>
    </row>
    <row r="32" spans="1:7" ht="15.75" x14ac:dyDescent="0.25">
      <c r="A32">
        <v>31</v>
      </c>
      <c r="B32" s="317" t="s">
        <v>1559</v>
      </c>
      <c r="D32" t="b">
        <f t="shared" si="0"/>
        <v>1</v>
      </c>
      <c r="E32" t="s">
        <v>1559</v>
      </c>
      <c r="F32" t="b">
        <f t="shared" si="1"/>
        <v>1</v>
      </c>
      <c r="G32" s="315" t="s">
        <v>1559</v>
      </c>
    </row>
    <row r="33" spans="1:7" ht="15.75" x14ac:dyDescent="0.25">
      <c r="A33">
        <v>32</v>
      </c>
      <c r="B33" s="317" t="s">
        <v>1590</v>
      </c>
      <c r="D33" t="b">
        <f t="shared" si="0"/>
        <v>1</v>
      </c>
      <c r="E33" t="s">
        <v>1590</v>
      </c>
      <c r="F33" t="b">
        <f t="shared" si="1"/>
        <v>1</v>
      </c>
      <c r="G33" s="315" t="s">
        <v>1590</v>
      </c>
    </row>
    <row r="34" spans="1:7" ht="15.75" x14ac:dyDescent="0.25">
      <c r="A34">
        <v>33</v>
      </c>
      <c r="B34" s="315" t="s">
        <v>1452</v>
      </c>
      <c r="D34" t="b">
        <f t="shared" si="0"/>
        <v>1</v>
      </c>
      <c r="E34" t="s">
        <v>1452</v>
      </c>
      <c r="F34" t="b">
        <f t="shared" si="1"/>
        <v>1</v>
      </c>
      <c r="G34" s="315" t="s">
        <v>1452</v>
      </c>
    </row>
    <row r="35" spans="1:7" ht="15.75" x14ac:dyDescent="0.25">
      <c r="A35">
        <v>34</v>
      </c>
      <c r="B35" s="315" t="s">
        <v>1719</v>
      </c>
      <c r="D35" t="b">
        <f t="shared" si="0"/>
        <v>1</v>
      </c>
      <c r="E35" t="s">
        <v>1719</v>
      </c>
      <c r="F35" t="b">
        <f t="shared" si="1"/>
        <v>1</v>
      </c>
      <c r="G35" s="315" t="s">
        <v>1719</v>
      </c>
    </row>
    <row r="36" spans="1:7" ht="15.75" x14ac:dyDescent="0.25">
      <c r="A36">
        <v>35</v>
      </c>
      <c r="B36" s="315" t="s">
        <v>2416</v>
      </c>
      <c r="D36" t="b">
        <f t="shared" si="0"/>
        <v>1</v>
      </c>
      <c r="E36" t="s">
        <v>2416</v>
      </c>
      <c r="F36" t="b">
        <f t="shared" si="1"/>
        <v>1</v>
      </c>
      <c r="G36" s="315" t="s">
        <v>2416</v>
      </c>
    </row>
    <row r="37" spans="1:7" ht="15.75" x14ac:dyDescent="0.25">
      <c r="A37">
        <v>36</v>
      </c>
      <c r="B37" s="19" t="s">
        <v>2417</v>
      </c>
      <c r="D37" t="b">
        <f t="shared" si="0"/>
        <v>1</v>
      </c>
      <c r="E37" t="s">
        <v>2417</v>
      </c>
      <c r="F37" t="b">
        <f t="shared" si="1"/>
        <v>1</v>
      </c>
      <c r="G37" s="315" t="s">
        <v>2417</v>
      </c>
    </row>
    <row r="38" spans="1:7" ht="15.75" x14ac:dyDescent="0.25">
      <c r="A38">
        <v>37</v>
      </c>
      <c r="B38" s="19" t="s">
        <v>2418</v>
      </c>
      <c r="D38" t="b">
        <f t="shared" si="0"/>
        <v>1</v>
      </c>
      <c r="E38" t="s">
        <v>2418</v>
      </c>
      <c r="F38" t="b">
        <f t="shared" si="1"/>
        <v>1</v>
      </c>
      <c r="G38" s="315" t="s">
        <v>2418</v>
      </c>
    </row>
    <row r="39" spans="1:7" ht="15.75" x14ac:dyDescent="0.25">
      <c r="A39">
        <v>38</v>
      </c>
      <c r="B39" s="19" t="s">
        <v>2419</v>
      </c>
      <c r="D39" t="b">
        <f t="shared" si="0"/>
        <v>1</v>
      </c>
      <c r="E39" t="s">
        <v>2419</v>
      </c>
      <c r="F39" t="b">
        <f t="shared" si="1"/>
        <v>1</v>
      </c>
      <c r="G39" s="315" t="s">
        <v>2419</v>
      </c>
    </row>
    <row r="40" spans="1:7" ht="15.75" x14ac:dyDescent="0.25">
      <c r="A40">
        <v>39</v>
      </c>
      <c r="B40" s="19" t="s">
        <v>2230</v>
      </c>
      <c r="D40" t="b">
        <f t="shared" si="0"/>
        <v>1</v>
      </c>
      <c r="E40" t="s">
        <v>2230</v>
      </c>
      <c r="F40" t="b">
        <f t="shared" si="1"/>
        <v>1</v>
      </c>
      <c r="G40" s="315" t="s">
        <v>2230</v>
      </c>
    </row>
    <row r="48" spans="1:7" x14ac:dyDescent="0.25">
      <c r="B48" t="s">
        <v>752</v>
      </c>
    </row>
    <row r="49" spans="2:2" x14ac:dyDescent="0.25">
      <c r="B49" t="s">
        <v>1179</v>
      </c>
    </row>
    <row r="50" spans="2:2" x14ac:dyDescent="0.25">
      <c r="B50" t="s">
        <v>753</v>
      </c>
    </row>
    <row r="51" spans="2:2" x14ac:dyDescent="0.25">
      <c r="B51" t="s">
        <v>175</v>
      </c>
    </row>
    <row r="52" spans="2:2" x14ac:dyDescent="0.25">
      <c r="B52" t="s">
        <v>174</v>
      </c>
    </row>
    <row r="53" spans="2:2" x14ac:dyDescent="0.25">
      <c r="B53" t="s">
        <v>759</v>
      </c>
    </row>
    <row r="54" spans="2:2" x14ac:dyDescent="0.25">
      <c r="B54" t="s">
        <v>176</v>
      </c>
    </row>
    <row r="55" spans="2:2" x14ac:dyDescent="0.25">
      <c r="B55" t="s">
        <v>2070</v>
      </c>
    </row>
    <row r="56" spans="2:2" x14ac:dyDescent="0.25">
      <c r="B56" t="s">
        <v>212</v>
      </c>
    </row>
    <row r="57" spans="2:2" x14ac:dyDescent="0.25">
      <c r="B57" t="s">
        <v>452</v>
      </c>
    </row>
    <row r="58" spans="2:2" x14ac:dyDescent="0.25">
      <c r="B58" t="s">
        <v>369</v>
      </c>
    </row>
    <row r="59" spans="2:2" x14ac:dyDescent="0.25">
      <c r="B59" t="s">
        <v>2410</v>
      </c>
    </row>
    <row r="60" spans="2:2" x14ac:dyDescent="0.25">
      <c r="B60" t="s">
        <v>2073</v>
      </c>
    </row>
  </sheetData>
  <pageMargins left="0.11811023622047245" right="0.11811023622047245" top="0.15748031496062992" bottom="0.15748031496062992" header="0.31496062992125984" footer="0.31496062992125984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"/>
  <sheetViews>
    <sheetView view="pageBreakPreview" zoomScaleNormal="55" zoomScaleSheetLayoutView="100" workbookViewId="0">
      <selection activeCell="F23" sqref="F23"/>
    </sheetView>
  </sheetViews>
  <sheetFormatPr defaultRowHeight="15" x14ac:dyDescent="0.25"/>
  <cols>
    <col min="1" max="1" width="6" customWidth="1"/>
    <col min="2" max="2" width="11.28515625" customWidth="1"/>
    <col min="3" max="3" width="39.5703125" customWidth="1"/>
    <col min="4" max="4" width="15" customWidth="1"/>
    <col min="5" max="5" width="29.140625" customWidth="1"/>
    <col min="6" max="6" width="18.7109375" customWidth="1"/>
    <col min="7" max="7" width="26.5703125" customWidth="1"/>
    <col min="8" max="8" width="21.7109375" customWidth="1"/>
    <col min="9" max="9" width="22.7109375" bestFit="1" customWidth="1"/>
    <col min="10" max="10" width="17.140625" customWidth="1"/>
    <col min="11" max="11" width="18.140625" customWidth="1"/>
    <col min="12" max="12" width="19.5703125" customWidth="1"/>
    <col min="13" max="13" width="15" customWidth="1"/>
    <col min="14" max="14" width="20.85546875" customWidth="1"/>
    <col min="15" max="15" width="15.7109375" customWidth="1"/>
    <col min="16" max="16" width="16.140625" customWidth="1"/>
    <col min="17" max="17" width="17.140625" customWidth="1"/>
    <col min="18" max="18" width="17" customWidth="1"/>
    <col min="19" max="19" width="17.140625" customWidth="1"/>
    <col min="20" max="20" width="16.7109375" customWidth="1"/>
    <col min="21" max="21" width="13.5703125" customWidth="1"/>
    <col min="22" max="22" width="14" customWidth="1"/>
    <col min="23" max="29" width="16.42578125" customWidth="1"/>
    <col min="30" max="30" width="27.140625" customWidth="1"/>
    <col min="31" max="32" width="28.7109375" customWidth="1"/>
    <col min="33" max="34" width="13.42578125" customWidth="1"/>
    <col min="35" max="35" width="10.85546875" customWidth="1"/>
    <col min="37" max="37" width="14" customWidth="1"/>
  </cols>
  <sheetData>
    <row r="1" spans="1:37" s="19" customFormat="1" ht="26.25" thickBot="1" x14ac:dyDescent="0.3">
      <c r="B1" s="20" t="s">
        <v>1789</v>
      </c>
      <c r="O1" s="654" t="s">
        <v>1790</v>
      </c>
      <c r="P1" s="655"/>
      <c r="Q1" s="655"/>
      <c r="R1" s="655"/>
      <c r="S1" s="656"/>
      <c r="T1" s="219" t="s">
        <v>1790</v>
      </c>
      <c r="U1" s="654" t="s">
        <v>1791</v>
      </c>
      <c r="V1" s="656"/>
      <c r="W1" s="654" t="s">
        <v>1792</v>
      </c>
      <c r="X1" s="655"/>
      <c r="Y1" s="655"/>
      <c r="Z1" s="655"/>
      <c r="AA1" s="655"/>
      <c r="AB1" s="655"/>
      <c r="AC1" s="220" t="s">
        <v>1793</v>
      </c>
    </row>
    <row r="2" spans="1:37" s="94" customFormat="1" ht="58.5" customHeight="1" x14ac:dyDescent="0.25">
      <c r="A2" s="21" t="s">
        <v>0</v>
      </c>
      <c r="B2" s="21" t="s">
        <v>1452</v>
      </c>
      <c r="C2" s="21" t="s">
        <v>794</v>
      </c>
      <c r="D2" s="21" t="s">
        <v>1390</v>
      </c>
      <c r="E2" s="21" t="s">
        <v>749</v>
      </c>
      <c r="F2" s="21" t="s">
        <v>1618</v>
      </c>
      <c r="G2" s="21" t="s">
        <v>748</v>
      </c>
      <c r="H2" s="21" t="s">
        <v>1794</v>
      </c>
      <c r="I2" s="21" t="s">
        <v>26</v>
      </c>
      <c r="J2" s="21" t="s">
        <v>30</v>
      </c>
      <c r="K2" s="21" t="s">
        <v>1795</v>
      </c>
      <c r="L2" s="21" t="s">
        <v>521</v>
      </c>
      <c r="M2" s="21" t="s">
        <v>1796</v>
      </c>
      <c r="N2" s="21" t="s">
        <v>519</v>
      </c>
      <c r="O2" s="221" t="s">
        <v>1358</v>
      </c>
      <c r="P2" s="221" t="s">
        <v>515</v>
      </c>
      <c r="Q2" s="221" t="s">
        <v>1797</v>
      </c>
      <c r="R2" s="221" t="s">
        <v>586</v>
      </c>
      <c r="S2" s="221" t="s">
        <v>517</v>
      </c>
      <c r="T2" s="221" t="s">
        <v>518</v>
      </c>
      <c r="U2" s="657" t="s">
        <v>522</v>
      </c>
      <c r="V2" s="658"/>
      <c r="W2" s="221" t="s">
        <v>1358</v>
      </c>
      <c r="X2" s="221" t="s">
        <v>515</v>
      </c>
      <c r="Y2" s="221" t="s">
        <v>1797</v>
      </c>
      <c r="Z2" s="221" t="s">
        <v>586</v>
      </c>
      <c r="AA2" s="221" t="s">
        <v>517</v>
      </c>
      <c r="AB2" s="221" t="s">
        <v>518</v>
      </c>
      <c r="AC2" s="221" t="s">
        <v>1798</v>
      </c>
      <c r="AD2" s="222" t="s">
        <v>1799</v>
      </c>
      <c r="AE2" s="222" t="s">
        <v>1800</v>
      </c>
      <c r="AF2" s="21" t="s">
        <v>1801</v>
      </c>
      <c r="AG2" s="137" t="s">
        <v>1802</v>
      </c>
      <c r="AH2" s="94" t="s">
        <v>1803</v>
      </c>
      <c r="AI2" s="94" t="s">
        <v>1804</v>
      </c>
      <c r="AK2" s="94" t="s">
        <v>1805</v>
      </c>
    </row>
    <row r="3" spans="1:37" s="226" customFormat="1" ht="51" customHeight="1" x14ac:dyDescent="0.25">
      <c r="A3" s="27"/>
      <c r="B3" s="24"/>
      <c r="C3" s="32"/>
      <c r="D3" s="24"/>
      <c r="E3" s="13"/>
      <c r="F3" s="145"/>
      <c r="G3" s="145"/>
      <c r="H3" s="145"/>
      <c r="I3" s="98"/>
      <c r="J3" s="98"/>
      <c r="K3" s="538"/>
      <c r="L3" s="35"/>
      <c r="M3" s="190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297"/>
      <c r="AD3" s="101"/>
      <c r="AE3" s="101"/>
      <c r="AF3" s="101"/>
      <c r="AG3" s="223"/>
      <c r="AH3" s="223"/>
      <c r="AI3" s="223"/>
      <c r="AJ3" s="224"/>
      <c r="AK3" s="225"/>
    </row>
    <row r="4" spans="1:37" s="226" customFormat="1" ht="51" customHeight="1" thickBot="1" x14ac:dyDescent="0.3">
      <c r="A4" s="27"/>
      <c r="B4" s="198"/>
      <c r="C4" s="261"/>
      <c r="D4" s="295"/>
      <c r="E4" s="11"/>
      <c r="F4" s="262"/>
      <c r="G4" s="296"/>
      <c r="H4" s="296"/>
      <c r="I4" s="200"/>
      <c r="J4" s="200"/>
      <c r="K4" s="539"/>
      <c r="L4" s="199"/>
      <c r="M4" s="262"/>
      <c r="N4" s="199"/>
      <c r="O4" s="35"/>
      <c r="P4" s="35"/>
      <c r="Q4" s="35"/>
      <c r="R4" s="35"/>
      <c r="S4" s="35"/>
      <c r="T4" s="35"/>
      <c r="U4" s="35"/>
      <c r="V4" s="199"/>
      <c r="W4" s="35"/>
      <c r="X4" s="35"/>
      <c r="Y4" s="35"/>
      <c r="Z4" s="35"/>
      <c r="AA4" s="35"/>
      <c r="AB4" s="35"/>
      <c r="AC4" s="297"/>
      <c r="AD4" s="297"/>
      <c r="AE4" s="297"/>
      <c r="AF4" s="297"/>
      <c r="AG4" s="223"/>
      <c r="AH4" s="223"/>
      <c r="AI4" s="223"/>
      <c r="AJ4" s="224"/>
      <c r="AK4" s="225"/>
    </row>
    <row r="5" spans="1:37" ht="31.5" customHeight="1" thickBot="1" x14ac:dyDescent="0.3">
      <c r="A5" s="659" t="s">
        <v>18</v>
      </c>
      <c r="B5" s="660"/>
      <c r="C5" s="661"/>
      <c r="D5" s="298"/>
      <c r="E5" s="299"/>
      <c r="F5" s="299"/>
      <c r="G5" s="299"/>
      <c r="H5" s="300"/>
      <c r="I5" s="301">
        <f>SUM(I3:I4)</f>
        <v>0</v>
      </c>
      <c r="J5" s="302">
        <f>SUM(J3:J4)</f>
        <v>0</v>
      </c>
      <c r="K5" s="303">
        <f>SUM(K3:K4)</f>
        <v>0</v>
      </c>
      <c r="L5" s="304"/>
      <c r="M5" s="305"/>
      <c r="N5" s="305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/>
      <c r="AB5" s="306"/>
      <c r="AC5" s="306"/>
      <c r="AD5" s="306"/>
      <c r="AE5" s="307"/>
      <c r="AF5" s="308"/>
      <c r="AG5" s="223"/>
      <c r="AH5" s="223"/>
      <c r="AI5" s="223"/>
      <c r="AJ5" s="224"/>
      <c r="AK5" s="225"/>
    </row>
  </sheetData>
  <mergeCells count="5">
    <mergeCell ref="O1:S1"/>
    <mergeCell ref="U1:V1"/>
    <mergeCell ref="W1:AB1"/>
    <mergeCell ref="U2:V2"/>
    <mergeCell ref="A5:C5"/>
  </mergeCells>
  <pageMargins left="0.11811023622047245" right="0.11811023622047245" top="0.55118110236220474" bottom="0.35433070866141736" header="0.31496062992125984" footer="0.31496062992125984"/>
  <pageSetup paperSize="9" scale="20" orientation="landscape" r:id="rId1"/>
  <colBreaks count="1" manualBreakCount="1">
    <brk id="3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6"/>
  <sheetViews>
    <sheetView view="pageBreakPreview" topLeftCell="B61" zoomScale="85" zoomScaleNormal="55" zoomScaleSheetLayoutView="85" workbookViewId="0">
      <selection activeCell="E70" sqref="E70"/>
    </sheetView>
  </sheetViews>
  <sheetFormatPr defaultRowHeight="15" x14ac:dyDescent="0.25"/>
  <cols>
    <col min="1" max="1" width="6" customWidth="1"/>
    <col min="2" max="2" width="11.28515625" customWidth="1"/>
    <col min="3" max="3" width="39.5703125" customWidth="1"/>
    <col min="4" max="4" width="15" customWidth="1"/>
    <col min="5" max="5" width="25.5703125" customWidth="1"/>
    <col min="6" max="6" width="18.7109375" customWidth="1"/>
    <col min="7" max="7" width="26.5703125" customWidth="1"/>
    <col min="8" max="8" width="21.7109375" customWidth="1"/>
    <col min="9" max="9" width="22.7109375" bestFit="1" customWidth="1"/>
    <col min="10" max="10" width="17.140625" customWidth="1"/>
    <col min="11" max="11" width="14.28515625" customWidth="1"/>
    <col min="12" max="12" width="19.5703125" customWidth="1"/>
    <col min="13" max="13" width="15" customWidth="1"/>
    <col min="14" max="14" width="20.85546875" customWidth="1"/>
    <col min="15" max="15" width="15.7109375" customWidth="1"/>
    <col min="16" max="16" width="16.140625" customWidth="1"/>
    <col min="17" max="17" width="17.140625" customWidth="1"/>
    <col min="18" max="18" width="17" customWidth="1"/>
    <col min="19" max="19" width="17.140625" customWidth="1"/>
    <col min="20" max="20" width="16.7109375" customWidth="1"/>
    <col min="21" max="21" width="13.5703125" customWidth="1"/>
    <col min="22" max="22" width="14" customWidth="1"/>
    <col min="23" max="29" width="16.42578125" customWidth="1"/>
    <col min="30" max="30" width="27.140625" customWidth="1"/>
    <col min="31" max="32" width="28.7109375" customWidth="1"/>
    <col min="33" max="34" width="13.42578125" customWidth="1"/>
    <col min="35" max="35" width="10.85546875" customWidth="1"/>
    <col min="37" max="37" width="14" customWidth="1"/>
  </cols>
  <sheetData>
    <row r="1" spans="1:28" ht="26.25" thickBot="1" x14ac:dyDescent="0.3">
      <c r="A1" s="19"/>
      <c r="B1" s="662" t="s">
        <v>1819</v>
      </c>
      <c r="C1" s="662"/>
      <c r="D1" s="662"/>
      <c r="E1" s="662"/>
      <c r="F1" s="228"/>
      <c r="G1" s="19"/>
      <c r="H1" s="19"/>
      <c r="I1" s="19"/>
      <c r="J1" s="19"/>
      <c r="K1" s="19"/>
      <c r="O1" s="219" t="s">
        <v>1791</v>
      </c>
      <c r="P1" s="229"/>
      <c r="Q1" s="219" t="s">
        <v>1791</v>
      </c>
      <c r="S1" s="219" t="s">
        <v>1791</v>
      </c>
      <c r="T1" s="230"/>
      <c r="U1" s="230"/>
      <c r="V1" s="230"/>
      <c r="W1" s="230"/>
      <c r="X1" s="230"/>
      <c r="Y1" s="230"/>
      <c r="Z1" s="230"/>
      <c r="AA1" s="19"/>
      <c r="AB1" s="19"/>
    </row>
    <row r="2" spans="1:28" ht="47.25" x14ac:dyDescent="0.25">
      <c r="A2" s="21" t="s">
        <v>0</v>
      </c>
      <c r="B2" s="21" t="s">
        <v>1452</v>
      </c>
      <c r="C2" s="21" t="s">
        <v>794</v>
      </c>
      <c r="D2" s="21" t="s">
        <v>1390</v>
      </c>
      <c r="E2" s="21" t="s">
        <v>749</v>
      </c>
      <c r="F2" s="21" t="s">
        <v>1618</v>
      </c>
      <c r="G2" s="21" t="s">
        <v>748</v>
      </c>
      <c r="H2" s="21" t="s">
        <v>1794</v>
      </c>
      <c r="I2" s="21" t="s">
        <v>26</v>
      </c>
      <c r="J2" s="21" t="s">
        <v>30</v>
      </c>
      <c r="K2" s="21" t="s">
        <v>521</v>
      </c>
      <c r="L2" s="21" t="s">
        <v>519</v>
      </c>
      <c r="M2" s="21" t="s">
        <v>1796</v>
      </c>
      <c r="N2" s="21" t="s">
        <v>1820</v>
      </c>
      <c r="O2" s="21" t="s">
        <v>1821</v>
      </c>
      <c r="P2" s="21" t="s">
        <v>1820</v>
      </c>
      <c r="Q2" s="21" t="s">
        <v>1821</v>
      </c>
      <c r="R2" s="21" t="s">
        <v>1820</v>
      </c>
      <c r="S2" s="221" t="s">
        <v>1799</v>
      </c>
      <c r="T2" s="74"/>
      <c r="U2" s="74"/>
      <c r="V2" s="74"/>
      <c r="W2" s="74"/>
      <c r="X2" s="74"/>
      <c r="Y2" s="74"/>
    </row>
    <row r="3" spans="1:28" ht="31.5" x14ac:dyDescent="0.25">
      <c r="A3" s="24">
        <v>1</v>
      </c>
      <c r="B3" s="24">
        <v>339</v>
      </c>
      <c r="C3" s="32" t="s">
        <v>1326</v>
      </c>
      <c r="D3" s="24" t="s">
        <v>1822</v>
      </c>
      <c r="E3" s="24" t="s">
        <v>1423</v>
      </c>
      <c r="F3" s="190" t="s">
        <v>1946</v>
      </c>
      <c r="G3" s="24" t="s">
        <v>1422</v>
      </c>
      <c r="H3" s="190" t="s">
        <v>1947</v>
      </c>
      <c r="I3" s="98">
        <v>5609699023</v>
      </c>
      <c r="J3" s="24">
        <v>197</v>
      </c>
      <c r="K3" s="35">
        <v>44970</v>
      </c>
      <c r="L3" s="99" t="s">
        <v>1327</v>
      </c>
      <c r="M3" s="99"/>
      <c r="N3" s="101">
        <v>44973</v>
      </c>
      <c r="O3" s="30">
        <v>44992</v>
      </c>
      <c r="P3" s="30"/>
      <c r="Q3" s="30">
        <v>45016</v>
      </c>
      <c r="R3" s="30">
        <v>45016</v>
      </c>
      <c r="S3" s="35" t="s">
        <v>1823</v>
      </c>
      <c r="T3" s="48"/>
      <c r="U3" s="48"/>
      <c r="V3" s="48"/>
      <c r="W3" s="48"/>
      <c r="X3" s="48"/>
      <c r="Y3" s="231"/>
    </row>
    <row r="4" spans="1:28" ht="39" customHeight="1" x14ac:dyDescent="0.25">
      <c r="A4" s="24">
        <v>2</v>
      </c>
      <c r="B4" s="24">
        <v>320</v>
      </c>
      <c r="C4" s="32" t="s">
        <v>1824</v>
      </c>
      <c r="D4" s="24" t="s">
        <v>1389</v>
      </c>
      <c r="E4" s="24" t="s">
        <v>1826</v>
      </c>
      <c r="F4" s="190" t="s">
        <v>1974</v>
      </c>
      <c r="G4" s="24" t="s">
        <v>1825</v>
      </c>
      <c r="H4" s="190" t="s">
        <v>1960</v>
      </c>
      <c r="I4" s="98">
        <v>27110239834</v>
      </c>
      <c r="J4" s="98">
        <v>1009</v>
      </c>
      <c r="K4" s="35">
        <v>44972</v>
      </c>
      <c r="L4" s="99" t="s">
        <v>1203</v>
      </c>
      <c r="M4" s="99"/>
      <c r="N4" s="101">
        <v>44977</v>
      </c>
      <c r="O4" s="232"/>
      <c r="P4" s="232"/>
      <c r="Q4" s="232"/>
      <c r="R4" s="232"/>
      <c r="S4" s="35" t="s">
        <v>1827</v>
      </c>
      <c r="T4" s="231"/>
      <c r="U4" s="231"/>
      <c r="V4" s="231"/>
      <c r="W4" s="231"/>
      <c r="X4" s="231"/>
      <c r="Y4" s="231"/>
    </row>
    <row r="5" spans="1:28" ht="31.5" x14ac:dyDescent="0.25">
      <c r="A5" s="24">
        <v>3</v>
      </c>
      <c r="B5" s="24">
        <v>348</v>
      </c>
      <c r="C5" s="32" t="s">
        <v>1828</v>
      </c>
      <c r="D5" s="79" t="s">
        <v>1829</v>
      </c>
      <c r="E5" s="27" t="s">
        <v>1444</v>
      </c>
      <c r="F5" s="241" t="s">
        <v>1958</v>
      </c>
      <c r="G5" s="27" t="s">
        <v>1830</v>
      </c>
      <c r="H5" s="241" t="s">
        <v>1647</v>
      </c>
      <c r="I5" s="98">
        <v>1226556110</v>
      </c>
      <c r="J5" s="98">
        <v>60</v>
      </c>
      <c r="K5" s="35">
        <v>44978</v>
      </c>
      <c r="L5" s="99" t="s">
        <v>1203</v>
      </c>
      <c r="M5" s="99"/>
      <c r="N5" s="101">
        <v>44981</v>
      </c>
      <c r="O5" s="101"/>
      <c r="P5" s="101"/>
      <c r="Q5" s="101"/>
      <c r="R5" s="101"/>
      <c r="S5" s="35" t="s">
        <v>1827</v>
      </c>
      <c r="T5" s="48"/>
      <c r="U5" s="48"/>
      <c r="V5" s="48"/>
      <c r="W5" s="48"/>
      <c r="X5" s="48"/>
      <c r="Y5" s="231"/>
    </row>
    <row r="6" spans="1:28" ht="88.5" customHeight="1" x14ac:dyDescent="0.25">
      <c r="A6" s="24">
        <v>4</v>
      </c>
      <c r="B6" s="24">
        <v>352</v>
      </c>
      <c r="C6" s="32" t="s">
        <v>1831</v>
      </c>
      <c r="D6" s="24" t="s">
        <v>1832</v>
      </c>
      <c r="E6" s="27" t="s">
        <v>1833</v>
      </c>
      <c r="F6" s="241" t="s">
        <v>1957</v>
      </c>
      <c r="G6" s="27" t="s">
        <v>1834</v>
      </c>
      <c r="H6" s="241" t="s">
        <v>1971</v>
      </c>
      <c r="I6" s="98">
        <v>5441382160</v>
      </c>
      <c r="J6" s="98">
        <v>528</v>
      </c>
      <c r="K6" s="35">
        <v>44980</v>
      </c>
      <c r="L6" s="99" t="s">
        <v>1215</v>
      </c>
      <c r="M6" s="99"/>
      <c r="N6" s="101">
        <v>44984</v>
      </c>
      <c r="O6" s="101"/>
      <c r="P6" s="101"/>
      <c r="Q6" s="101"/>
      <c r="R6" s="101"/>
      <c r="S6" s="35" t="s">
        <v>1827</v>
      </c>
      <c r="T6" s="48"/>
      <c r="U6" s="48"/>
      <c r="V6" s="48"/>
      <c r="W6" s="48"/>
      <c r="X6" s="48"/>
      <c r="Y6" s="231"/>
    </row>
    <row r="7" spans="1:28" ht="37.5" customHeight="1" x14ac:dyDescent="0.25">
      <c r="A7" s="24">
        <v>5</v>
      </c>
      <c r="B7" s="24">
        <v>354</v>
      </c>
      <c r="C7" s="32" t="s">
        <v>1344</v>
      </c>
      <c r="D7" s="27" t="s">
        <v>1835</v>
      </c>
      <c r="E7" s="27" t="s">
        <v>1400</v>
      </c>
      <c r="F7" s="241" t="s">
        <v>1954</v>
      </c>
      <c r="G7" s="27" t="s">
        <v>1401</v>
      </c>
      <c r="H7" s="241" t="s">
        <v>1965</v>
      </c>
      <c r="I7" s="98">
        <v>380442507</v>
      </c>
      <c r="J7" s="98">
        <v>60</v>
      </c>
      <c r="K7" s="35">
        <v>44981</v>
      </c>
      <c r="L7" s="99" t="s">
        <v>1327</v>
      </c>
      <c r="M7" s="99"/>
      <c r="N7" s="101">
        <v>44986</v>
      </c>
      <c r="O7" s="101"/>
      <c r="P7" s="101"/>
      <c r="Q7" s="101"/>
      <c r="R7" s="101"/>
      <c r="S7" s="35" t="s">
        <v>1827</v>
      </c>
      <c r="T7" s="48"/>
      <c r="U7" s="48"/>
      <c r="V7" s="48"/>
      <c r="W7" s="48"/>
      <c r="X7" s="48"/>
      <c r="Y7" s="231"/>
    </row>
    <row r="8" spans="1:28" ht="31.5" x14ac:dyDescent="0.25">
      <c r="A8" s="24">
        <v>6</v>
      </c>
      <c r="B8" s="24">
        <v>381</v>
      </c>
      <c r="C8" s="32" t="s">
        <v>1836</v>
      </c>
      <c r="D8" s="27" t="s">
        <v>1428</v>
      </c>
      <c r="E8" s="24" t="s">
        <v>954</v>
      </c>
      <c r="F8" s="190" t="s">
        <v>1956</v>
      </c>
      <c r="G8" s="27" t="s">
        <v>1837</v>
      </c>
      <c r="H8" s="241" t="s">
        <v>1973</v>
      </c>
      <c r="I8" s="98">
        <v>19106709423</v>
      </c>
      <c r="J8" s="24">
        <v>485</v>
      </c>
      <c r="K8" s="35">
        <v>45062</v>
      </c>
      <c r="L8" s="99" t="s">
        <v>1118</v>
      </c>
      <c r="M8" s="99"/>
      <c r="N8" s="101">
        <v>45065</v>
      </c>
      <c r="O8" s="101"/>
      <c r="P8" s="101"/>
      <c r="Q8" s="101"/>
      <c r="R8" s="101"/>
      <c r="S8" s="35" t="s">
        <v>1823</v>
      </c>
      <c r="T8" s="48"/>
      <c r="U8" s="48"/>
      <c r="V8" s="48"/>
      <c r="W8" s="48"/>
      <c r="X8" s="48"/>
      <c r="Y8" s="231"/>
    </row>
    <row r="9" spans="1:28" ht="45.75" customHeight="1" x14ac:dyDescent="0.25">
      <c r="A9" s="27">
        <v>7</v>
      </c>
      <c r="B9" s="27">
        <v>385</v>
      </c>
      <c r="C9" s="23" t="s">
        <v>1326</v>
      </c>
      <c r="D9" s="27" t="s">
        <v>1822</v>
      </c>
      <c r="E9" s="27" t="s">
        <v>1423</v>
      </c>
      <c r="F9" s="190" t="s">
        <v>1946</v>
      </c>
      <c r="G9" s="27" t="s">
        <v>1422</v>
      </c>
      <c r="H9" s="190" t="s">
        <v>1947</v>
      </c>
      <c r="I9" s="116">
        <v>5609699023</v>
      </c>
      <c r="J9" s="27">
        <v>197</v>
      </c>
      <c r="K9" s="29">
        <v>45068</v>
      </c>
      <c r="L9" s="227" t="s">
        <v>1327</v>
      </c>
      <c r="M9" s="227"/>
      <c r="N9" s="233">
        <v>45071</v>
      </c>
      <c r="O9" s="233">
        <v>45103</v>
      </c>
      <c r="P9" s="233">
        <v>45106</v>
      </c>
      <c r="Q9" s="233">
        <v>45134</v>
      </c>
      <c r="R9" s="233">
        <v>45140</v>
      </c>
      <c r="S9" s="29" t="s">
        <v>1827</v>
      </c>
      <c r="T9" s="48"/>
      <c r="U9" s="48"/>
      <c r="V9" s="48"/>
      <c r="W9" s="48"/>
      <c r="X9" s="48"/>
      <c r="Y9" s="231"/>
    </row>
    <row r="10" spans="1:28" ht="45.75" customHeight="1" x14ac:dyDescent="0.25">
      <c r="A10" s="24">
        <v>8</v>
      </c>
      <c r="B10" s="24">
        <v>388</v>
      </c>
      <c r="C10" s="32" t="s">
        <v>1838</v>
      </c>
      <c r="D10" s="24" t="s">
        <v>1832</v>
      </c>
      <c r="E10" s="24" t="s">
        <v>1839</v>
      </c>
      <c r="F10" s="190" t="s">
        <v>1641</v>
      </c>
      <c r="G10" s="24" t="s">
        <v>1840</v>
      </c>
      <c r="H10" s="190" t="s">
        <v>1642</v>
      </c>
      <c r="I10" s="98">
        <v>4916104675</v>
      </c>
      <c r="J10" s="24">
        <v>216</v>
      </c>
      <c r="K10" s="35">
        <v>45075</v>
      </c>
      <c r="L10" s="227" t="s">
        <v>1841</v>
      </c>
      <c r="M10" s="227"/>
      <c r="N10" s="233">
        <v>45079</v>
      </c>
      <c r="O10" s="101"/>
      <c r="P10" s="101"/>
      <c r="Q10" s="101"/>
      <c r="R10" s="101"/>
      <c r="S10" s="35" t="s">
        <v>1823</v>
      </c>
      <c r="T10" s="48"/>
      <c r="U10" s="48"/>
      <c r="V10" s="48"/>
      <c r="W10" s="48"/>
      <c r="X10" s="48"/>
      <c r="Y10" s="231"/>
    </row>
    <row r="11" spans="1:28" ht="57.75" customHeight="1" x14ac:dyDescent="0.25">
      <c r="A11" s="24">
        <v>9</v>
      </c>
      <c r="B11" s="24">
        <v>397</v>
      </c>
      <c r="C11" s="32" t="s">
        <v>1440</v>
      </c>
      <c r="D11" s="24" t="s">
        <v>1842</v>
      </c>
      <c r="E11" s="24" t="s">
        <v>1456</v>
      </c>
      <c r="F11" s="190" t="s">
        <v>1950</v>
      </c>
      <c r="G11" s="24" t="s">
        <v>1457</v>
      </c>
      <c r="H11" s="190" t="s">
        <v>1651</v>
      </c>
      <c r="I11" s="98">
        <v>2504748497</v>
      </c>
      <c r="J11" s="24">
        <v>63</v>
      </c>
      <c r="K11" s="35">
        <v>45079</v>
      </c>
      <c r="L11" s="99" t="s">
        <v>1215</v>
      </c>
      <c r="M11" s="99"/>
      <c r="N11" s="233">
        <v>45085</v>
      </c>
      <c r="O11" s="101"/>
      <c r="P11" s="101"/>
      <c r="Q11" s="101"/>
      <c r="R11" s="101"/>
      <c r="S11" s="35" t="s">
        <v>1827</v>
      </c>
      <c r="T11" s="48"/>
      <c r="U11" s="48"/>
      <c r="V11" s="48"/>
      <c r="W11" s="48"/>
      <c r="X11" s="48"/>
      <c r="Y11" s="231"/>
    </row>
    <row r="12" spans="1:28" ht="45.75" customHeight="1" x14ac:dyDescent="0.25">
      <c r="A12" s="24">
        <v>10</v>
      </c>
      <c r="B12" s="24">
        <v>398</v>
      </c>
      <c r="C12" s="32" t="s">
        <v>1441</v>
      </c>
      <c r="D12" s="24" t="s">
        <v>1843</v>
      </c>
      <c r="E12" s="24" t="s">
        <v>1458</v>
      </c>
      <c r="F12" s="190" t="s">
        <v>1959</v>
      </c>
      <c r="G12" s="24" t="s">
        <v>1579</v>
      </c>
      <c r="H12" s="190" t="s">
        <v>1964</v>
      </c>
      <c r="I12" s="98">
        <v>711510837</v>
      </c>
      <c r="J12" s="24">
        <v>48</v>
      </c>
      <c r="K12" s="35">
        <v>45079</v>
      </c>
      <c r="L12" s="99" t="s">
        <v>1203</v>
      </c>
      <c r="M12" s="99"/>
      <c r="N12" s="233">
        <v>45086</v>
      </c>
      <c r="O12" s="101"/>
      <c r="P12" s="101"/>
      <c r="Q12" s="101"/>
      <c r="R12" s="101"/>
      <c r="S12" s="35" t="s">
        <v>1823</v>
      </c>
      <c r="T12" s="48"/>
      <c r="U12" s="48"/>
      <c r="V12" s="48"/>
      <c r="W12" s="48"/>
      <c r="X12" s="48"/>
      <c r="Y12" s="231"/>
    </row>
    <row r="13" spans="1:28" ht="45.75" customHeight="1" x14ac:dyDescent="0.25">
      <c r="A13" s="24">
        <v>11</v>
      </c>
      <c r="B13" s="24">
        <v>402</v>
      </c>
      <c r="C13" s="32" t="s">
        <v>1844</v>
      </c>
      <c r="D13" s="27" t="s">
        <v>1428</v>
      </c>
      <c r="E13" s="24" t="s">
        <v>954</v>
      </c>
      <c r="F13" s="190" t="s">
        <v>1956</v>
      </c>
      <c r="G13" s="24" t="s">
        <v>1837</v>
      </c>
      <c r="H13" s="241" t="s">
        <v>1973</v>
      </c>
      <c r="I13" s="98">
        <v>18169799082</v>
      </c>
      <c r="J13" s="24">
        <v>485</v>
      </c>
      <c r="K13" s="35">
        <v>45089</v>
      </c>
      <c r="L13" s="99" t="s">
        <v>1215</v>
      </c>
      <c r="M13" s="99"/>
      <c r="N13" s="233">
        <v>45093</v>
      </c>
      <c r="O13" s="101"/>
      <c r="P13" s="101"/>
      <c r="Q13" s="101"/>
      <c r="R13" s="101"/>
      <c r="S13" s="35" t="s">
        <v>1827</v>
      </c>
      <c r="T13" s="48"/>
      <c r="U13" s="48"/>
      <c r="V13" s="48"/>
      <c r="W13" s="48"/>
      <c r="X13" s="48"/>
      <c r="Y13" s="231"/>
    </row>
    <row r="14" spans="1:28" ht="45.75" customHeight="1" x14ac:dyDescent="0.25">
      <c r="A14" s="24">
        <v>12</v>
      </c>
      <c r="B14" s="24">
        <v>387</v>
      </c>
      <c r="C14" s="32" t="s">
        <v>1447</v>
      </c>
      <c r="D14" s="24" t="s">
        <v>1388</v>
      </c>
      <c r="E14" s="24" t="s">
        <v>716</v>
      </c>
      <c r="F14" s="190" t="s">
        <v>1949</v>
      </c>
      <c r="G14" s="24" t="s">
        <v>717</v>
      </c>
      <c r="H14" s="190" t="s">
        <v>1967</v>
      </c>
      <c r="I14" s="98">
        <v>2815219200</v>
      </c>
      <c r="J14" s="24">
        <v>75</v>
      </c>
      <c r="K14" s="35">
        <v>45086</v>
      </c>
      <c r="L14" s="99" t="s">
        <v>1297</v>
      </c>
      <c r="M14" s="99"/>
      <c r="N14" s="101">
        <v>45093</v>
      </c>
      <c r="O14" s="101">
        <v>45203</v>
      </c>
      <c r="P14" s="101">
        <v>45209</v>
      </c>
      <c r="Q14" s="101">
        <v>45239</v>
      </c>
      <c r="R14" s="101">
        <v>45245</v>
      </c>
      <c r="S14" s="35" t="s">
        <v>1827</v>
      </c>
      <c r="T14" s="48"/>
      <c r="U14" s="48"/>
      <c r="V14" s="48"/>
      <c r="W14" s="48"/>
      <c r="X14" s="48"/>
      <c r="Y14" s="231"/>
    </row>
    <row r="15" spans="1:28" ht="45.75" customHeight="1" x14ac:dyDescent="0.25">
      <c r="A15" s="24">
        <v>13</v>
      </c>
      <c r="B15" s="24">
        <v>401</v>
      </c>
      <c r="C15" s="23" t="s">
        <v>1564</v>
      </c>
      <c r="D15" s="27" t="s">
        <v>1448</v>
      </c>
      <c r="E15" s="27" t="s">
        <v>758</v>
      </c>
      <c r="F15" s="190" t="s">
        <v>1645</v>
      </c>
      <c r="G15" s="27" t="s">
        <v>1412</v>
      </c>
      <c r="H15" s="241" t="s">
        <v>1646</v>
      </c>
      <c r="I15" s="98">
        <v>2953550085</v>
      </c>
      <c r="J15" s="58">
        <v>210</v>
      </c>
      <c r="K15" s="35">
        <v>45089</v>
      </c>
      <c r="L15" s="99" t="s">
        <v>1215</v>
      </c>
      <c r="M15" s="99"/>
      <c r="N15" s="233">
        <v>45093</v>
      </c>
      <c r="O15" s="101"/>
      <c r="P15" s="101"/>
      <c r="Q15" s="101"/>
      <c r="R15" s="101"/>
      <c r="S15" s="35" t="s">
        <v>1823</v>
      </c>
      <c r="T15" s="48"/>
      <c r="U15" s="48"/>
      <c r="V15" s="48"/>
      <c r="W15" s="48"/>
      <c r="X15" s="48"/>
      <c r="Y15" s="231"/>
    </row>
    <row r="16" spans="1:28" ht="45.75" customHeight="1" x14ac:dyDescent="0.25">
      <c r="A16" s="24">
        <v>14</v>
      </c>
      <c r="B16" s="24">
        <v>403</v>
      </c>
      <c r="C16" s="32" t="s">
        <v>1845</v>
      </c>
      <c r="D16" s="24" t="s">
        <v>1842</v>
      </c>
      <c r="E16" s="24" t="s">
        <v>1846</v>
      </c>
      <c r="F16" s="190" t="s">
        <v>1634</v>
      </c>
      <c r="G16" s="24" t="s">
        <v>1580</v>
      </c>
      <c r="H16" s="190" t="s">
        <v>1963</v>
      </c>
      <c r="I16" s="98">
        <v>3730317893</v>
      </c>
      <c r="J16" s="58">
        <v>162</v>
      </c>
      <c r="K16" s="35">
        <v>45107</v>
      </c>
      <c r="L16" s="99" t="s">
        <v>1297</v>
      </c>
      <c r="M16" s="99"/>
      <c r="N16" s="101">
        <v>45112</v>
      </c>
      <c r="O16" s="101"/>
      <c r="P16" s="101"/>
      <c r="Q16" s="101"/>
      <c r="R16" s="101"/>
      <c r="S16" s="35" t="s">
        <v>1823</v>
      </c>
      <c r="T16" s="48"/>
      <c r="U16" s="48"/>
      <c r="V16" s="48"/>
      <c r="W16" s="48"/>
      <c r="X16" s="48"/>
      <c r="Y16" s="231"/>
    </row>
    <row r="17" spans="1:25" ht="45.75" customHeight="1" x14ac:dyDescent="0.25">
      <c r="A17" s="27">
        <v>15</v>
      </c>
      <c r="B17" s="27">
        <v>406</v>
      </c>
      <c r="C17" s="23" t="s">
        <v>1847</v>
      </c>
      <c r="D17" s="27" t="s">
        <v>1388</v>
      </c>
      <c r="E17" s="27" t="s">
        <v>1513</v>
      </c>
      <c r="F17" s="241" t="s">
        <v>1652</v>
      </c>
      <c r="G17" s="27" t="s">
        <v>1578</v>
      </c>
      <c r="H17" s="241" t="s">
        <v>1625</v>
      </c>
      <c r="I17" s="116">
        <v>4002124719</v>
      </c>
      <c r="J17" s="234">
        <v>117</v>
      </c>
      <c r="K17" s="29">
        <v>45107</v>
      </c>
      <c r="L17" s="227" t="s">
        <v>1157</v>
      </c>
      <c r="M17" s="227"/>
      <c r="N17" s="233">
        <v>45112</v>
      </c>
      <c r="O17" s="233"/>
      <c r="P17" s="233"/>
      <c r="Q17" s="233"/>
      <c r="R17" s="233"/>
      <c r="S17" s="35" t="s">
        <v>1823</v>
      </c>
      <c r="T17" s="48"/>
      <c r="U17" s="48"/>
      <c r="V17" s="48"/>
      <c r="W17" s="48"/>
      <c r="X17" s="48"/>
      <c r="Y17" s="231"/>
    </row>
    <row r="18" spans="1:25" ht="45.75" customHeight="1" x14ac:dyDescent="0.25">
      <c r="A18" s="27">
        <v>16</v>
      </c>
      <c r="B18" s="27">
        <v>407</v>
      </c>
      <c r="C18" s="23" t="s">
        <v>1515</v>
      </c>
      <c r="D18" s="27" t="s">
        <v>1428</v>
      </c>
      <c r="E18" s="27" t="s">
        <v>699</v>
      </c>
      <c r="F18" s="145" t="s">
        <v>1626</v>
      </c>
      <c r="G18" s="27" t="s">
        <v>1514</v>
      </c>
      <c r="H18" s="241" t="s">
        <v>1627</v>
      </c>
      <c r="I18" s="116">
        <v>2934513361</v>
      </c>
      <c r="J18" s="234">
        <v>80</v>
      </c>
      <c r="K18" s="29">
        <v>45107</v>
      </c>
      <c r="L18" s="227" t="s">
        <v>1210</v>
      </c>
      <c r="M18" s="227"/>
      <c r="N18" s="233">
        <v>45111</v>
      </c>
      <c r="O18" s="233">
        <v>45119</v>
      </c>
      <c r="P18" s="233">
        <v>45125</v>
      </c>
      <c r="Q18" s="233"/>
      <c r="R18" s="233"/>
      <c r="S18" s="35" t="s">
        <v>1823</v>
      </c>
      <c r="T18" s="48"/>
      <c r="U18" s="48"/>
      <c r="V18" s="48"/>
      <c r="W18" s="48"/>
      <c r="X18" s="48"/>
      <c r="Y18" s="231"/>
    </row>
    <row r="19" spans="1:25" ht="45.75" customHeight="1" x14ac:dyDescent="0.25">
      <c r="A19" s="24">
        <v>17</v>
      </c>
      <c r="B19" s="24">
        <v>418</v>
      </c>
      <c r="C19" s="32" t="s">
        <v>1562</v>
      </c>
      <c r="D19" s="24" t="s">
        <v>1388</v>
      </c>
      <c r="E19" s="24" t="s">
        <v>791</v>
      </c>
      <c r="F19" s="190" t="s">
        <v>1621</v>
      </c>
      <c r="G19" s="24" t="s">
        <v>1678</v>
      </c>
      <c r="H19" s="190" t="s">
        <v>1624</v>
      </c>
      <c r="I19" s="98">
        <f>7244.731*1000000</f>
        <v>7244731000</v>
      </c>
      <c r="J19" s="58">
        <v>257</v>
      </c>
      <c r="K19" s="35">
        <v>45146</v>
      </c>
      <c r="L19" s="99" t="s">
        <v>1210</v>
      </c>
      <c r="M19" s="99"/>
      <c r="N19" s="101">
        <v>45153</v>
      </c>
      <c r="O19" s="101">
        <v>45154</v>
      </c>
      <c r="P19" s="101">
        <v>45161</v>
      </c>
      <c r="Q19" s="101"/>
      <c r="R19" s="101"/>
      <c r="S19" s="35" t="s">
        <v>1823</v>
      </c>
      <c r="T19" s="48"/>
      <c r="U19" s="48"/>
      <c r="V19" s="48"/>
      <c r="W19" s="48"/>
      <c r="X19" s="48"/>
      <c r="Y19" s="231"/>
    </row>
    <row r="20" spans="1:25" ht="45.75" customHeight="1" x14ac:dyDescent="0.25">
      <c r="A20" s="27">
        <v>18</v>
      </c>
      <c r="B20" s="27">
        <v>419</v>
      </c>
      <c r="C20" s="23" t="s">
        <v>1553</v>
      </c>
      <c r="D20" s="27" t="s">
        <v>1448</v>
      </c>
      <c r="E20" s="27" t="s">
        <v>758</v>
      </c>
      <c r="F20" s="190" t="s">
        <v>1645</v>
      </c>
      <c r="G20" s="27" t="s">
        <v>1412</v>
      </c>
      <c r="H20" s="241" t="s">
        <v>1646</v>
      </c>
      <c r="I20" s="116">
        <v>2623982344</v>
      </c>
      <c r="J20" s="234">
        <v>140</v>
      </c>
      <c r="K20" s="29">
        <v>45147</v>
      </c>
      <c r="L20" s="227" t="s">
        <v>1215</v>
      </c>
      <c r="M20" s="227"/>
      <c r="N20" s="233">
        <v>45153</v>
      </c>
      <c r="O20" s="233"/>
      <c r="P20" s="233"/>
      <c r="Q20" s="233"/>
      <c r="R20" s="233"/>
      <c r="S20" s="35" t="s">
        <v>1823</v>
      </c>
      <c r="T20" s="48"/>
      <c r="U20" s="48"/>
      <c r="V20" s="48"/>
      <c r="W20" s="48"/>
      <c r="X20" s="48"/>
      <c r="Y20" s="231"/>
    </row>
    <row r="21" spans="1:25" ht="45.75" customHeight="1" x14ac:dyDescent="0.25">
      <c r="A21" s="27">
        <v>19</v>
      </c>
      <c r="B21" s="27">
        <v>421</v>
      </c>
      <c r="C21" s="23" t="s">
        <v>1848</v>
      </c>
      <c r="D21" s="27" t="s">
        <v>1555</v>
      </c>
      <c r="E21" s="27" t="s">
        <v>1400</v>
      </c>
      <c r="F21" s="241" t="s">
        <v>1954</v>
      </c>
      <c r="G21" s="27" t="s">
        <v>1554</v>
      </c>
      <c r="H21" s="241" t="s">
        <v>1650</v>
      </c>
      <c r="I21" s="116">
        <v>1088278078</v>
      </c>
      <c r="J21" s="234">
        <v>119</v>
      </c>
      <c r="K21" s="29">
        <v>45147</v>
      </c>
      <c r="L21" s="227" t="s">
        <v>1549</v>
      </c>
      <c r="M21" s="227"/>
      <c r="N21" s="233">
        <v>45153</v>
      </c>
      <c r="O21" s="233"/>
      <c r="P21" s="233"/>
      <c r="Q21" s="233"/>
      <c r="R21" s="233"/>
      <c r="S21" s="35" t="s">
        <v>1823</v>
      </c>
      <c r="T21" s="48"/>
      <c r="U21" s="48"/>
      <c r="V21" s="48"/>
      <c r="W21" s="48"/>
      <c r="X21" s="48"/>
      <c r="Y21" s="231"/>
    </row>
    <row r="22" spans="1:25" ht="45.75" customHeight="1" x14ac:dyDescent="0.25">
      <c r="A22" s="24">
        <v>20</v>
      </c>
      <c r="B22" s="24">
        <v>422</v>
      </c>
      <c r="C22" s="32" t="s">
        <v>1556</v>
      </c>
      <c r="D22" s="24" t="s">
        <v>1448</v>
      </c>
      <c r="E22" s="24" t="s">
        <v>758</v>
      </c>
      <c r="F22" s="190" t="s">
        <v>1645</v>
      </c>
      <c r="G22" s="24" t="s">
        <v>1412</v>
      </c>
      <c r="H22" s="241" t="s">
        <v>1646</v>
      </c>
      <c r="I22" s="98">
        <v>1635711572</v>
      </c>
      <c r="J22" s="58">
        <v>110</v>
      </c>
      <c r="K22" s="35">
        <v>45149</v>
      </c>
      <c r="L22" s="99" t="s">
        <v>1215</v>
      </c>
      <c r="M22" s="99"/>
      <c r="N22" s="101">
        <v>45154</v>
      </c>
      <c r="O22" s="101"/>
      <c r="P22" s="101"/>
      <c r="Q22" s="101"/>
      <c r="R22" s="101"/>
      <c r="S22" s="35" t="s">
        <v>1823</v>
      </c>
      <c r="T22" s="48"/>
      <c r="U22" s="48"/>
      <c r="V22" s="48"/>
      <c r="W22" s="48"/>
      <c r="X22" s="48"/>
      <c r="Y22" s="231"/>
    </row>
    <row r="23" spans="1:25" ht="45.75" customHeight="1" x14ac:dyDescent="0.25">
      <c r="A23" s="24">
        <v>21</v>
      </c>
      <c r="B23" s="24">
        <v>424</v>
      </c>
      <c r="C23" s="32" t="s">
        <v>1845</v>
      </c>
      <c r="D23" s="24" t="s">
        <v>1389</v>
      </c>
      <c r="E23" s="24" t="s">
        <v>1849</v>
      </c>
      <c r="F23" s="190" t="s">
        <v>1644</v>
      </c>
      <c r="G23" s="24" t="s">
        <v>1850</v>
      </c>
      <c r="H23" s="190" t="s">
        <v>1970</v>
      </c>
      <c r="I23" s="98">
        <v>7088802043</v>
      </c>
      <c r="J23" s="58">
        <v>176</v>
      </c>
      <c r="K23" s="35">
        <v>45159</v>
      </c>
      <c r="L23" s="99" t="s">
        <v>1549</v>
      </c>
      <c r="M23" s="99"/>
      <c r="N23" s="101">
        <v>45163</v>
      </c>
      <c r="O23" s="101"/>
      <c r="P23" s="101"/>
      <c r="Q23" s="101"/>
      <c r="R23" s="101"/>
      <c r="S23" s="35" t="s">
        <v>1827</v>
      </c>
      <c r="T23" s="48"/>
      <c r="U23" s="48"/>
      <c r="V23" s="48"/>
      <c r="W23" s="48"/>
      <c r="X23" s="48"/>
      <c r="Y23" s="231"/>
    </row>
    <row r="24" spans="1:25" ht="45.75" customHeight="1" x14ac:dyDescent="0.25">
      <c r="A24" s="27">
        <v>22</v>
      </c>
      <c r="B24" s="27">
        <v>427</v>
      </c>
      <c r="C24" s="23" t="s">
        <v>1851</v>
      </c>
      <c r="D24" s="27" t="s">
        <v>1388</v>
      </c>
      <c r="E24" s="27" t="s">
        <v>1852</v>
      </c>
      <c r="F24" s="190" t="s">
        <v>1645</v>
      </c>
      <c r="G24" s="27" t="s">
        <v>1565</v>
      </c>
      <c r="H24" s="190" t="s">
        <v>1751</v>
      </c>
      <c r="I24" s="116">
        <v>9904943140</v>
      </c>
      <c r="J24" s="234">
        <v>55</v>
      </c>
      <c r="K24" s="29">
        <v>45167</v>
      </c>
      <c r="L24" s="227" t="s">
        <v>1525</v>
      </c>
      <c r="M24" s="227"/>
      <c r="N24" s="233">
        <v>45174</v>
      </c>
      <c r="O24" s="233">
        <v>45190</v>
      </c>
      <c r="P24" s="233">
        <v>45195</v>
      </c>
      <c r="Q24" s="233"/>
      <c r="R24" s="233"/>
      <c r="S24" s="29" t="s">
        <v>1827</v>
      </c>
      <c r="T24" s="48"/>
      <c r="U24" s="48"/>
      <c r="V24" s="48"/>
      <c r="W24" s="48"/>
      <c r="X24" s="48"/>
      <c r="Y24" s="231"/>
    </row>
    <row r="25" spans="1:25" ht="45.75" customHeight="1" x14ac:dyDescent="0.25">
      <c r="A25" s="27">
        <v>23</v>
      </c>
      <c r="B25" s="27">
        <v>385</v>
      </c>
      <c r="C25" s="23" t="s">
        <v>1326</v>
      </c>
      <c r="D25" s="27" t="s">
        <v>1822</v>
      </c>
      <c r="E25" s="27" t="s">
        <v>1423</v>
      </c>
      <c r="F25" s="190" t="s">
        <v>1946</v>
      </c>
      <c r="G25" s="27" t="s">
        <v>1422</v>
      </c>
      <c r="H25" s="190" t="s">
        <v>1947</v>
      </c>
      <c r="I25" s="116">
        <v>5609699023</v>
      </c>
      <c r="J25" s="27">
        <v>197</v>
      </c>
      <c r="K25" s="29">
        <v>45170</v>
      </c>
      <c r="L25" s="227" t="s">
        <v>1327</v>
      </c>
      <c r="M25" s="227"/>
      <c r="N25" s="233">
        <v>45176</v>
      </c>
      <c r="O25" s="233">
        <v>45190</v>
      </c>
      <c r="P25" s="233">
        <v>45195</v>
      </c>
      <c r="Q25" s="233"/>
      <c r="R25" s="233"/>
      <c r="S25" s="29" t="s">
        <v>1827</v>
      </c>
      <c r="T25" s="48"/>
      <c r="U25" s="48"/>
      <c r="V25" s="48"/>
      <c r="W25" s="48"/>
      <c r="X25" s="48"/>
      <c r="Y25" s="231"/>
    </row>
    <row r="26" spans="1:25" ht="45.75" customHeight="1" x14ac:dyDescent="0.25">
      <c r="A26" s="24">
        <v>24</v>
      </c>
      <c r="B26" s="24">
        <v>430</v>
      </c>
      <c r="C26" s="32" t="s">
        <v>1853</v>
      </c>
      <c r="D26" s="24" t="s">
        <v>1428</v>
      </c>
      <c r="E26" s="24" t="s">
        <v>702</v>
      </c>
      <c r="F26" s="190" t="s">
        <v>1639</v>
      </c>
      <c r="G26" s="24" t="s">
        <v>1811</v>
      </c>
      <c r="H26" s="145" t="s">
        <v>1812</v>
      </c>
      <c r="I26" s="98">
        <v>2860596380</v>
      </c>
      <c r="J26" s="24">
        <v>65</v>
      </c>
      <c r="K26" s="35">
        <v>45173</v>
      </c>
      <c r="L26" s="99" t="s">
        <v>1203</v>
      </c>
      <c r="M26" s="99"/>
      <c r="N26" s="101">
        <v>45177</v>
      </c>
      <c r="O26" s="101"/>
      <c r="P26" s="101"/>
      <c r="Q26" s="101"/>
      <c r="R26" s="101"/>
      <c r="S26" s="35" t="s">
        <v>1823</v>
      </c>
      <c r="T26" s="48"/>
      <c r="U26" s="48"/>
      <c r="V26" s="48"/>
      <c r="W26" s="48"/>
      <c r="X26" s="48"/>
      <c r="Y26" s="231"/>
    </row>
    <row r="27" spans="1:25" ht="45.75" customHeight="1" x14ac:dyDescent="0.25">
      <c r="A27" s="24">
        <v>25</v>
      </c>
      <c r="B27" s="24">
        <v>442</v>
      </c>
      <c r="C27" s="32" t="s">
        <v>1854</v>
      </c>
      <c r="D27" s="24" t="s">
        <v>1388</v>
      </c>
      <c r="E27" s="24" t="s">
        <v>716</v>
      </c>
      <c r="F27" s="190" t="s">
        <v>1949</v>
      </c>
      <c r="G27" s="24" t="s">
        <v>1582</v>
      </c>
      <c r="H27" s="145" t="s">
        <v>1669</v>
      </c>
      <c r="I27" s="98">
        <v>1544370730</v>
      </c>
      <c r="J27" s="24">
        <v>54</v>
      </c>
      <c r="K27" s="35">
        <v>45197</v>
      </c>
      <c r="L27" s="99" t="s">
        <v>1855</v>
      </c>
      <c r="M27" s="99"/>
      <c r="N27" s="101">
        <v>45203</v>
      </c>
      <c r="O27" s="101">
        <v>45243</v>
      </c>
      <c r="P27" s="101">
        <v>45247</v>
      </c>
      <c r="Q27" s="101"/>
      <c r="R27" s="101"/>
      <c r="S27" s="29" t="s">
        <v>1823</v>
      </c>
      <c r="T27" s="48"/>
      <c r="U27" s="48"/>
      <c r="V27" s="48"/>
      <c r="W27" s="48"/>
      <c r="X27" s="48"/>
      <c r="Y27" s="231"/>
    </row>
    <row r="28" spans="1:25" ht="45.75" customHeight="1" x14ac:dyDescent="0.25">
      <c r="A28" s="24">
        <v>26</v>
      </c>
      <c r="B28" s="24">
        <v>443</v>
      </c>
      <c r="C28" s="32" t="s">
        <v>1856</v>
      </c>
      <c r="D28" s="24" t="s">
        <v>1388</v>
      </c>
      <c r="E28" s="24" t="s">
        <v>716</v>
      </c>
      <c r="F28" s="190" t="s">
        <v>1949</v>
      </c>
      <c r="G28" s="24" t="s">
        <v>1582</v>
      </c>
      <c r="H28" s="145" t="s">
        <v>1669</v>
      </c>
      <c r="I28" s="98">
        <v>1372954735</v>
      </c>
      <c r="J28" s="24">
        <v>40</v>
      </c>
      <c r="K28" s="35">
        <v>45197</v>
      </c>
      <c r="L28" s="99" t="s">
        <v>1857</v>
      </c>
      <c r="M28" s="99"/>
      <c r="N28" s="101">
        <v>45203</v>
      </c>
      <c r="O28" s="101">
        <v>45243</v>
      </c>
      <c r="P28" s="101">
        <v>45247</v>
      </c>
      <c r="Q28" s="101"/>
      <c r="R28" s="101"/>
      <c r="S28" s="29" t="s">
        <v>1823</v>
      </c>
      <c r="T28" s="48"/>
      <c r="U28" s="48"/>
      <c r="V28" s="48"/>
      <c r="W28" s="48"/>
      <c r="X28" s="48"/>
      <c r="Y28" s="231"/>
    </row>
    <row r="29" spans="1:25" ht="45.75" customHeight="1" x14ac:dyDescent="0.25">
      <c r="A29" s="27">
        <v>27</v>
      </c>
      <c r="B29" s="27">
        <v>445</v>
      </c>
      <c r="C29" s="23" t="s">
        <v>1858</v>
      </c>
      <c r="D29" s="27" t="s">
        <v>1388</v>
      </c>
      <c r="E29" s="27" t="s">
        <v>1587</v>
      </c>
      <c r="F29" s="241" t="s">
        <v>1777</v>
      </c>
      <c r="G29" s="27" t="s">
        <v>974</v>
      </c>
      <c r="H29" s="241" t="s">
        <v>1654</v>
      </c>
      <c r="I29" s="116">
        <v>9176506252</v>
      </c>
      <c r="J29" s="27">
        <v>264</v>
      </c>
      <c r="K29" s="29">
        <v>45198</v>
      </c>
      <c r="L29" s="227" t="s">
        <v>607</v>
      </c>
      <c r="M29" s="227"/>
      <c r="N29" s="233">
        <v>45205</v>
      </c>
      <c r="O29" s="233"/>
      <c r="P29" s="233"/>
      <c r="Q29" s="233"/>
      <c r="R29" s="233"/>
      <c r="S29" s="29" t="s">
        <v>1823</v>
      </c>
      <c r="T29" s="48"/>
      <c r="U29" s="48"/>
      <c r="V29" s="48"/>
      <c r="W29" s="48"/>
      <c r="X29" s="48"/>
      <c r="Y29" s="231"/>
    </row>
    <row r="30" spans="1:25" ht="45.75" customHeight="1" x14ac:dyDescent="0.25">
      <c r="A30" s="24">
        <v>28</v>
      </c>
      <c r="B30" s="24">
        <v>444</v>
      </c>
      <c r="C30" s="32" t="s">
        <v>1859</v>
      </c>
      <c r="D30" s="24" t="s">
        <v>1388</v>
      </c>
      <c r="E30" s="24" t="s">
        <v>716</v>
      </c>
      <c r="F30" s="190" t="s">
        <v>1949</v>
      </c>
      <c r="G30" s="24" t="s">
        <v>1588</v>
      </c>
      <c r="H30" s="190" t="s">
        <v>1670</v>
      </c>
      <c r="I30" s="98">
        <v>10030993319</v>
      </c>
      <c r="J30" s="24">
        <v>423</v>
      </c>
      <c r="K30" s="35">
        <v>45198</v>
      </c>
      <c r="L30" s="99" t="s">
        <v>1549</v>
      </c>
      <c r="M30" s="99"/>
      <c r="N30" s="101">
        <v>45205</v>
      </c>
      <c r="O30" s="101">
        <v>45243</v>
      </c>
      <c r="P30" s="101"/>
      <c r="Q30" s="101"/>
      <c r="R30" s="101"/>
      <c r="S30" s="29" t="s">
        <v>1823</v>
      </c>
      <c r="T30" s="48"/>
      <c r="U30" s="48"/>
      <c r="V30" s="48"/>
      <c r="W30" s="48"/>
      <c r="X30" s="48"/>
      <c r="Y30" s="231"/>
    </row>
    <row r="31" spans="1:25" ht="45.75" customHeight="1" x14ac:dyDescent="0.25">
      <c r="A31" s="27">
        <v>29</v>
      </c>
      <c r="B31" s="27">
        <v>446</v>
      </c>
      <c r="C31" s="23" t="s">
        <v>1851</v>
      </c>
      <c r="D31" s="27" t="s">
        <v>1428</v>
      </c>
      <c r="E31" s="27" t="s">
        <v>699</v>
      </c>
      <c r="F31" s="145" t="s">
        <v>1626</v>
      </c>
      <c r="G31" s="27" t="s">
        <v>1592</v>
      </c>
      <c r="H31" s="145" t="s">
        <v>1663</v>
      </c>
      <c r="I31" s="116">
        <v>6804685307</v>
      </c>
      <c r="J31" s="27">
        <v>192</v>
      </c>
      <c r="K31" s="29">
        <v>45205</v>
      </c>
      <c r="L31" s="227" t="s">
        <v>680</v>
      </c>
      <c r="M31" s="227"/>
      <c r="N31" s="233">
        <v>45212</v>
      </c>
      <c r="O31" s="233"/>
      <c r="P31" s="233"/>
      <c r="Q31" s="233"/>
      <c r="R31" s="233"/>
      <c r="S31" s="29" t="s">
        <v>1827</v>
      </c>
      <c r="T31" s="48"/>
      <c r="U31" s="48"/>
      <c r="V31" s="48"/>
      <c r="W31" s="48"/>
      <c r="X31" s="48"/>
      <c r="Y31" s="231"/>
    </row>
    <row r="32" spans="1:25" ht="45.75" customHeight="1" x14ac:dyDescent="0.25">
      <c r="A32" s="27">
        <v>30</v>
      </c>
      <c r="B32" s="27">
        <v>450</v>
      </c>
      <c r="C32" s="23" t="s">
        <v>1609</v>
      </c>
      <c r="D32" s="27" t="s">
        <v>1388</v>
      </c>
      <c r="E32" s="27" t="s">
        <v>974</v>
      </c>
      <c r="F32" s="241" t="s">
        <v>1654</v>
      </c>
      <c r="G32" s="27" t="s">
        <v>1608</v>
      </c>
      <c r="H32" s="241" t="s">
        <v>1664</v>
      </c>
      <c r="I32" s="116">
        <v>15986084547.473101</v>
      </c>
      <c r="J32" s="27">
        <v>793</v>
      </c>
      <c r="K32" s="29">
        <v>45219</v>
      </c>
      <c r="L32" s="99" t="s">
        <v>1583</v>
      </c>
      <c r="M32" s="99"/>
      <c r="N32" s="233">
        <v>45226</v>
      </c>
      <c r="O32" s="233"/>
      <c r="P32" s="233"/>
      <c r="Q32" s="233"/>
      <c r="R32" s="233"/>
      <c r="S32" s="35" t="s">
        <v>1823</v>
      </c>
      <c r="T32" s="48"/>
      <c r="U32" s="48"/>
      <c r="V32" s="48"/>
      <c r="W32" s="48"/>
      <c r="X32" s="48"/>
      <c r="Y32" s="231"/>
    </row>
    <row r="33" spans="1:25" ht="45.75" customHeight="1" x14ac:dyDescent="0.25">
      <c r="A33" s="24">
        <v>31</v>
      </c>
      <c r="B33" s="24">
        <v>455</v>
      </c>
      <c r="C33" s="32" t="s">
        <v>1860</v>
      </c>
      <c r="D33" s="24" t="s">
        <v>1428</v>
      </c>
      <c r="E33" s="24" t="s">
        <v>699</v>
      </c>
      <c r="F33" s="145" t="s">
        <v>1626</v>
      </c>
      <c r="G33" s="24" t="s">
        <v>1592</v>
      </c>
      <c r="H33" s="145" t="s">
        <v>1663</v>
      </c>
      <c r="I33" s="98">
        <v>6804685307</v>
      </c>
      <c r="J33" s="24">
        <v>192</v>
      </c>
      <c r="K33" s="35">
        <v>45223</v>
      </c>
      <c r="L33" s="99" t="s">
        <v>680</v>
      </c>
      <c r="M33" s="99"/>
      <c r="N33" s="101">
        <v>45231</v>
      </c>
      <c r="O33" s="101"/>
      <c r="P33" s="101"/>
      <c r="Q33" s="101"/>
      <c r="R33" s="101"/>
      <c r="S33" s="35" t="s">
        <v>1823</v>
      </c>
      <c r="T33" s="48"/>
      <c r="U33" s="48"/>
      <c r="V33" s="48"/>
      <c r="W33" s="48"/>
      <c r="X33" s="48"/>
      <c r="Y33" s="231"/>
    </row>
    <row r="34" spans="1:25" ht="45.75" customHeight="1" x14ac:dyDescent="0.25">
      <c r="A34" s="24">
        <v>32</v>
      </c>
      <c r="B34" s="24">
        <v>452</v>
      </c>
      <c r="C34" s="32" t="s">
        <v>1861</v>
      </c>
      <c r="D34" s="24" t="s">
        <v>1389</v>
      </c>
      <c r="E34" s="24" t="s">
        <v>685</v>
      </c>
      <c r="F34" s="190" t="s">
        <v>1955</v>
      </c>
      <c r="G34" s="24" t="s">
        <v>1862</v>
      </c>
      <c r="H34" s="190" t="s">
        <v>1972</v>
      </c>
      <c r="I34" s="98">
        <v>9194531498</v>
      </c>
      <c r="J34" s="24"/>
      <c r="K34" s="35">
        <v>45225</v>
      </c>
      <c r="L34" s="99" t="s">
        <v>680</v>
      </c>
      <c r="M34" s="99"/>
      <c r="N34" s="101">
        <v>45232</v>
      </c>
      <c r="O34" s="101"/>
      <c r="P34" s="101"/>
      <c r="Q34" s="101"/>
      <c r="R34" s="101"/>
      <c r="S34" s="35" t="s">
        <v>1827</v>
      </c>
      <c r="T34" s="48"/>
      <c r="U34" s="48"/>
      <c r="V34" s="48"/>
      <c r="W34" s="48"/>
      <c r="X34" s="48"/>
      <c r="Y34" s="231"/>
    </row>
    <row r="35" spans="1:25" ht="45.75" customHeight="1" x14ac:dyDescent="0.25">
      <c r="A35" s="27">
        <v>33</v>
      </c>
      <c r="B35" s="27">
        <v>456</v>
      </c>
      <c r="C35" s="23" t="s">
        <v>1655</v>
      </c>
      <c r="D35" s="27" t="s">
        <v>1863</v>
      </c>
      <c r="E35" s="27" t="s">
        <v>977</v>
      </c>
      <c r="F35" s="241" t="s">
        <v>1686</v>
      </c>
      <c r="G35" s="27" t="s">
        <v>1656</v>
      </c>
      <c r="H35" s="241" t="s">
        <v>1687</v>
      </c>
      <c r="I35" s="116">
        <v>1886723000</v>
      </c>
      <c r="J35" s="27">
        <v>75</v>
      </c>
      <c r="K35" s="29">
        <v>45239</v>
      </c>
      <c r="L35" s="227" t="s">
        <v>669</v>
      </c>
      <c r="M35" s="227"/>
      <c r="N35" s="233">
        <v>45246</v>
      </c>
      <c r="O35" s="233">
        <v>45267</v>
      </c>
      <c r="P35" s="233">
        <v>45273</v>
      </c>
      <c r="Q35" s="233">
        <v>45279</v>
      </c>
      <c r="R35" s="233"/>
      <c r="S35" s="29" t="s">
        <v>1827</v>
      </c>
      <c r="T35" s="48"/>
      <c r="U35" s="48"/>
      <c r="V35" s="48"/>
      <c r="W35" s="48"/>
      <c r="X35" s="48"/>
      <c r="Y35" s="231"/>
    </row>
    <row r="36" spans="1:25" ht="45.75" customHeight="1" x14ac:dyDescent="0.25">
      <c r="A36" s="24">
        <v>34</v>
      </c>
      <c r="B36" s="24">
        <v>459</v>
      </c>
      <c r="C36" s="32" t="s">
        <v>1658</v>
      </c>
      <c r="D36" s="24" t="s">
        <v>1428</v>
      </c>
      <c r="E36" s="24" t="s">
        <v>693</v>
      </c>
      <c r="F36" s="190" t="s">
        <v>1643</v>
      </c>
      <c r="G36" s="24" t="s">
        <v>694</v>
      </c>
      <c r="H36" s="190" t="s">
        <v>1676</v>
      </c>
      <c r="I36" s="98">
        <v>8967320951</v>
      </c>
      <c r="J36" s="24">
        <v>271</v>
      </c>
      <c r="K36" s="35">
        <v>45245</v>
      </c>
      <c r="L36" s="99" t="s">
        <v>1157</v>
      </c>
      <c r="M36" s="99"/>
      <c r="N36" s="101">
        <v>45252</v>
      </c>
      <c r="O36" s="101"/>
      <c r="P36" s="101"/>
      <c r="Q36" s="101"/>
      <c r="R36" s="101"/>
      <c r="S36" s="35" t="s">
        <v>1823</v>
      </c>
      <c r="T36" s="48"/>
      <c r="U36" s="48"/>
      <c r="V36" s="48"/>
      <c r="W36" s="48"/>
      <c r="X36" s="48"/>
      <c r="Y36" s="231"/>
    </row>
    <row r="37" spans="1:25" ht="45.75" customHeight="1" x14ac:dyDescent="0.25">
      <c r="A37" s="24">
        <v>35</v>
      </c>
      <c r="B37" s="24">
        <v>460</v>
      </c>
      <c r="C37" s="32" t="s">
        <v>1657</v>
      </c>
      <c r="D37" s="24" t="s">
        <v>1428</v>
      </c>
      <c r="E37" s="24" t="s">
        <v>702</v>
      </c>
      <c r="F37" s="190" t="s">
        <v>1639</v>
      </c>
      <c r="G37" s="24" t="s">
        <v>684</v>
      </c>
      <c r="H37" s="190" t="s">
        <v>1968</v>
      </c>
      <c r="I37" s="98">
        <v>2754891000</v>
      </c>
      <c r="J37" s="24">
        <v>45</v>
      </c>
      <c r="K37" s="35">
        <v>45245</v>
      </c>
      <c r="L37" s="99" t="s">
        <v>1215</v>
      </c>
      <c r="M37" s="99"/>
      <c r="N37" s="101">
        <v>45251</v>
      </c>
      <c r="O37" s="101"/>
      <c r="P37" s="101"/>
      <c r="Q37" s="101"/>
      <c r="R37" s="101"/>
      <c r="S37" s="35" t="s">
        <v>1827</v>
      </c>
      <c r="T37" s="48"/>
      <c r="U37" s="48"/>
      <c r="V37" s="48"/>
      <c r="W37" s="48"/>
      <c r="X37" s="48"/>
      <c r="Y37" s="231"/>
    </row>
    <row r="38" spans="1:25" ht="45.75" customHeight="1" x14ac:dyDescent="0.25">
      <c r="A38" s="27">
        <v>36</v>
      </c>
      <c r="B38" s="27">
        <v>466</v>
      </c>
      <c r="C38" s="23" t="s">
        <v>778</v>
      </c>
      <c r="D38" s="27" t="s">
        <v>1388</v>
      </c>
      <c r="E38" s="27" t="s">
        <v>712</v>
      </c>
      <c r="F38" s="241" t="s">
        <v>1640</v>
      </c>
      <c r="G38" s="27" t="s">
        <v>787</v>
      </c>
      <c r="H38" s="241" t="s">
        <v>1716</v>
      </c>
      <c r="I38" s="116">
        <v>7672975159</v>
      </c>
      <c r="J38" s="27">
        <v>296</v>
      </c>
      <c r="K38" s="29">
        <v>45268</v>
      </c>
      <c r="L38" s="227" t="s">
        <v>1215</v>
      </c>
      <c r="M38" s="227"/>
      <c r="N38" s="233">
        <v>45274</v>
      </c>
      <c r="O38" s="233"/>
      <c r="P38" s="233"/>
      <c r="Q38" s="233"/>
      <c r="R38" s="233"/>
      <c r="S38" s="29" t="s">
        <v>1827</v>
      </c>
      <c r="T38" s="48"/>
      <c r="U38" s="48"/>
      <c r="V38" s="48"/>
      <c r="W38" s="48"/>
      <c r="X38" s="48"/>
      <c r="Y38" s="231"/>
    </row>
    <row r="39" spans="1:25" ht="45.75" customHeight="1" x14ac:dyDescent="0.25">
      <c r="A39" s="24">
        <v>37</v>
      </c>
      <c r="B39" s="24">
        <v>468</v>
      </c>
      <c r="C39" s="32" t="s">
        <v>1864</v>
      </c>
      <c r="D39" s="24" t="s">
        <v>1389</v>
      </c>
      <c r="E39" s="24" t="s">
        <v>1674</v>
      </c>
      <c r="F39" s="190" t="s">
        <v>1951</v>
      </c>
      <c r="G39" s="24" t="s">
        <v>1673</v>
      </c>
      <c r="H39" s="190" t="s">
        <v>1969</v>
      </c>
      <c r="I39" s="98">
        <v>7627323844</v>
      </c>
      <c r="J39" s="24">
        <v>261</v>
      </c>
      <c r="K39" s="35">
        <v>45289</v>
      </c>
      <c r="L39" s="99" t="s">
        <v>1297</v>
      </c>
      <c r="M39" s="99"/>
      <c r="N39" s="101">
        <v>45299</v>
      </c>
      <c r="O39" s="101"/>
      <c r="P39" s="101"/>
      <c r="Q39" s="101"/>
      <c r="R39" s="101"/>
      <c r="S39" s="35" t="s">
        <v>1827</v>
      </c>
      <c r="T39" s="48"/>
      <c r="U39" s="48"/>
      <c r="V39" s="48"/>
      <c r="W39" s="48"/>
      <c r="X39" s="48"/>
      <c r="Y39" s="231"/>
    </row>
    <row r="40" spans="1:25" ht="45.75" customHeight="1" x14ac:dyDescent="0.25">
      <c r="A40" s="24">
        <v>38</v>
      </c>
      <c r="B40" s="24">
        <v>469</v>
      </c>
      <c r="C40" s="32" t="s">
        <v>1865</v>
      </c>
      <c r="D40" s="24" t="s">
        <v>1866</v>
      </c>
      <c r="E40" s="24" t="s">
        <v>1675</v>
      </c>
      <c r="F40" s="190" t="s">
        <v>1715</v>
      </c>
      <c r="G40" s="24" t="s">
        <v>1867</v>
      </c>
      <c r="H40" s="190" t="s">
        <v>1714</v>
      </c>
      <c r="I40" s="98">
        <v>3954968060</v>
      </c>
      <c r="J40" s="24">
        <v>480</v>
      </c>
      <c r="K40" s="35">
        <v>45289</v>
      </c>
      <c r="L40" s="99" t="s">
        <v>1583</v>
      </c>
      <c r="M40" s="99"/>
      <c r="N40" s="101">
        <v>45299</v>
      </c>
      <c r="O40" s="101"/>
      <c r="P40" s="101"/>
      <c r="Q40" s="101"/>
      <c r="R40" s="101"/>
      <c r="S40" s="35" t="s">
        <v>1827</v>
      </c>
      <c r="T40" s="48"/>
      <c r="U40" s="48"/>
      <c r="V40" s="48"/>
      <c r="W40" s="48"/>
      <c r="X40" s="48"/>
      <c r="Y40" s="231"/>
    </row>
    <row r="41" spans="1:25" ht="45.75" customHeight="1" x14ac:dyDescent="0.25">
      <c r="A41" s="24">
        <v>39</v>
      </c>
      <c r="B41" s="24">
        <v>470</v>
      </c>
      <c r="C41" s="32" t="s">
        <v>1447</v>
      </c>
      <c r="D41" s="24" t="s">
        <v>1388</v>
      </c>
      <c r="E41" s="24" t="s">
        <v>716</v>
      </c>
      <c r="F41" s="190" t="s">
        <v>1949</v>
      </c>
      <c r="G41" s="24" t="s">
        <v>717</v>
      </c>
      <c r="H41" s="190" t="s">
        <v>1967</v>
      </c>
      <c r="I41" s="98">
        <v>2815219200</v>
      </c>
      <c r="J41" s="24">
        <v>75</v>
      </c>
      <c r="K41" s="35">
        <v>45303</v>
      </c>
      <c r="L41" s="99" t="s">
        <v>1297</v>
      </c>
      <c r="M41" s="99"/>
      <c r="N41" s="101">
        <v>45310</v>
      </c>
      <c r="O41" s="101"/>
      <c r="P41" s="101"/>
      <c r="Q41" s="101"/>
      <c r="R41" s="101"/>
      <c r="S41" s="35" t="s">
        <v>1827</v>
      </c>
      <c r="T41" s="48"/>
      <c r="U41" s="48"/>
      <c r="V41" s="48"/>
      <c r="W41" s="48"/>
      <c r="X41" s="48"/>
      <c r="Y41" s="231"/>
    </row>
    <row r="42" spans="1:25" ht="45.75" customHeight="1" x14ac:dyDescent="0.25">
      <c r="A42" s="24">
        <v>40</v>
      </c>
      <c r="B42" s="24">
        <v>474</v>
      </c>
      <c r="C42" s="32" t="s">
        <v>1690</v>
      </c>
      <c r="D42" s="24" t="s">
        <v>1388</v>
      </c>
      <c r="E42" s="24" t="s">
        <v>791</v>
      </c>
      <c r="F42" s="190" t="s">
        <v>1621</v>
      </c>
      <c r="G42" s="24" t="s">
        <v>1678</v>
      </c>
      <c r="H42" s="190" t="s">
        <v>1624</v>
      </c>
      <c r="I42" s="98">
        <v>2679891550</v>
      </c>
      <c r="J42" s="24">
        <v>106</v>
      </c>
      <c r="K42" s="35">
        <v>45324</v>
      </c>
      <c r="L42" s="99" t="s">
        <v>680</v>
      </c>
      <c r="M42" s="99"/>
      <c r="N42" s="101">
        <v>45330</v>
      </c>
      <c r="O42" s="101"/>
      <c r="P42" s="101"/>
      <c r="Q42" s="101"/>
      <c r="R42" s="101"/>
      <c r="S42" s="35" t="s">
        <v>1827</v>
      </c>
      <c r="T42" s="48"/>
      <c r="U42" s="48"/>
      <c r="V42" s="48"/>
      <c r="W42" s="48"/>
      <c r="X42" s="48"/>
      <c r="Y42" s="231"/>
    </row>
    <row r="43" spans="1:25" ht="45.75" customHeight="1" x14ac:dyDescent="0.25">
      <c r="A43" s="24">
        <v>41</v>
      </c>
      <c r="B43" s="24">
        <v>476</v>
      </c>
      <c r="C43" s="32" t="s">
        <v>1864</v>
      </c>
      <c r="D43" s="24" t="s">
        <v>1389</v>
      </c>
      <c r="E43" s="24" t="s">
        <v>1674</v>
      </c>
      <c r="F43" s="190" t="s">
        <v>1951</v>
      </c>
      <c r="G43" s="24" t="s">
        <v>1673</v>
      </c>
      <c r="H43" s="190" t="s">
        <v>1969</v>
      </c>
      <c r="I43" s="98">
        <v>7627323844</v>
      </c>
      <c r="J43" s="24">
        <v>261</v>
      </c>
      <c r="K43" s="35">
        <v>45324</v>
      </c>
      <c r="L43" s="99" t="s">
        <v>1297</v>
      </c>
      <c r="M43" s="99"/>
      <c r="N43" s="101">
        <v>45330</v>
      </c>
      <c r="O43" s="101">
        <v>45335</v>
      </c>
      <c r="P43" s="101">
        <v>45342</v>
      </c>
      <c r="Q43" s="101"/>
      <c r="R43" s="101"/>
      <c r="S43" s="35" t="s">
        <v>1827</v>
      </c>
      <c r="T43" s="48"/>
      <c r="U43" s="48"/>
      <c r="V43" s="48"/>
      <c r="W43" s="48"/>
      <c r="X43" s="48"/>
      <c r="Y43" s="231"/>
    </row>
    <row r="44" spans="1:25" ht="45.75" customHeight="1" x14ac:dyDescent="0.25">
      <c r="A44" s="24">
        <v>42</v>
      </c>
      <c r="B44" s="24">
        <v>477</v>
      </c>
      <c r="C44" s="32" t="s">
        <v>1696</v>
      </c>
      <c r="D44" s="24" t="s">
        <v>1388</v>
      </c>
      <c r="E44" s="24" t="s">
        <v>758</v>
      </c>
      <c r="F44" s="190" t="s">
        <v>1645</v>
      </c>
      <c r="G44" s="24" t="s">
        <v>1565</v>
      </c>
      <c r="H44" s="190" t="s">
        <v>1751</v>
      </c>
      <c r="I44" s="98">
        <v>9904943140</v>
      </c>
      <c r="J44" s="98">
        <v>55</v>
      </c>
      <c r="K44" s="35">
        <v>45327</v>
      </c>
      <c r="L44" s="99" t="s">
        <v>1525</v>
      </c>
      <c r="M44" s="99"/>
      <c r="N44" s="101">
        <v>45334</v>
      </c>
      <c r="O44" s="101"/>
      <c r="P44" s="101"/>
      <c r="Q44" s="101"/>
      <c r="R44" s="101"/>
      <c r="S44" s="35" t="s">
        <v>1827</v>
      </c>
      <c r="T44" s="48"/>
      <c r="U44" s="48"/>
      <c r="V44" s="48"/>
      <c r="W44" s="48"/>
      <c r="X44" s="48"/>
      <c r="Y44" s="231"/>
    </row>
    <row r="45" spans="1:25" ht="45.75" customHeight="1" x14ac:dyDescent="0.25">
      <c r="A45" s="24">
        <v>43</v>
      </c>
      <c r="B45" s="24">
        <v>478</v>
      </c>
      <c r="C45" s="32" t="s">
        <v>1713</v>
      </c>
      <c r="D45" s="24" t="s">
        <v>1692</v>
      </c>
      <c r="E45" s="24" t="s">
        <v>702</v>
      </c>
      <c r="F45" s="190" t="s">
        <v>1639</v>
      </c>
      <c r="G45" s="24" t="s">
        <v>1666</v>
      </c>
      <c r="H45" s="190" t="s">
        <v>1732</v>
      </c>
      <c r="I45" s="98">
        <v>1613184115</v>
      </c>
      <c r="J45" s="98">
        <v>45</v>
      </c>
      <c r="K45" s="35">
        <v>45328</v>
      </c>
      <c r="L45" s="99" t="s">
        <v>1203</v>
      </c>
      <c r="M45" s="99"/>
      <c r="N45" s="101">
        <v>45334</v>
      </c>
      <c r="O45" s="101">
        <v>45335</v>
      </c>
      <c r="P45" s="101"/>
      <c r="Q45" s="101"/>
      <c r="R45" s="101"/>
      <c r="S45" s="35" t="s">
        <v>1868</v>
      </c>
      <c r="T45" s="48"/>
      <c r="U45" s="48"/>
      <c r="V45" s="48"/>
      <c r="W45" s="48"/>
      <c r="X45" s="48"/>
      <c r="Y45" s="231"/>
    </row>
    <row r="46" spans="1:25" ht="45.75" customHeight="1" x14ac:dyDescent="0.25">
      <c r="A46" s="24">
        <v>44</v>
      </c>
      <c r="B46" s="24">
        <v>479</v>
      </c>
      <c r="C46" s="32" t="s">
        <v>1693</v>
      </c>
      <c r="D46" s="24" t="s">
        <v>1325</v>
      </c>
      <c r="E46" s="24" t="s">
        <v>1694</v>
      </c>
      <c r="F46" s="190" t="s">
        <v>1748</v>
      </c>
      <c r="G46" s="24" t="s">
        <v>1695</v>
      </c>
      <c r="H46" s="190" t="s">
        <v>1749</v>
      </c>
      <c r="I46" s="98">
        <v>7417681106</v>
      </c>
      <c r="J46" s="98">
        <v>209</v>
      </c>
      <c r="K46" s="35">
        <v>45330</v>
      </c>
      <c r="L46" s="99" t="s">
        <v>1446</v>
      </c>
      <c r="M46" s="99"/>
      <c r="N46" s="101">
        <v>45336</v>
      </c>
      <c r="O46" s="101">
        <v>45344</v>
      </c>
      <c r="P46" s="101"/>
      <c r="Q46" s="101"/>
      <c r="R46" s="101"/>
      <c r="S46" s="35" t="s">
        <v>1868</v>
      </c>
      <c r="T46" s="48"/>
      <c r="U46" s="48"/>
      <c r="V46" s="48"/>
      <c r="W46" s="48"/>
      <c r="X46" s="48"/>
      <c r="Y46" s="231"/>
    </row>
    <row r="47" spans="1:25" ht="45.75" customHeight="1" x14ac:dyDescent="0.25">
      <c r="A47" s="24">
        <v>45</v>
      </c>
      <c r="B47" s="24">
        <v>481</v>
      </c>
      <c r="C47" s="32" t="s">
        <v>1447</v>
      </c>
      <c r="D47" s="24" t="s">
        <v>1388</v>
      </c>
      <c r="E47" s="24" t="s">
        <v>716</v>
      </c>
      <c r="F47" s="190" t="s">
        <v>1949</v>
      </c>
      <c r="G47" s="24" t="s">
        <v>717</v>
      </c>
      <c r="H47" s="190" t="s">
        <v>1967</v>
      </c>
      <c r="I47" s="98">
        <v>2815219200</v>
      </c>
      <c r="J47" s="98">
        <v>75</v>
      </c>
      <c r="K47" s="35">
        <v>45330</v>
      </c>
      <c r="L47" s="99" t="s">
        <v>1297</v>
      </c>
      <c r="M47" s="99"/>
      <c r="N47" s="101">
        <v>45337</v>
      </c>
      <c r="O47" s="101"/>
      <c r="P47" s="101"/>
      <c r="Q47" s="101"/>
      <c r="R47" s="101"/>
      <c r="S47" s="35" t="s">
        <v>1827</v>
      </c>
      <c r="T47" s="48"/>
      <c r="U47" s="48"/>
      <c r="V47" s="48"/>
      <c r="W47" s="48"/>
      <c r="X47" s="48"/>
      <c r="Y47" s="231"/>
    </row>
    <row r="48" spans="1:25" ht="45.75" customHeight="1" x14ac:dyDescent="0.25">
      <c r="A48" s="24">
        <v>45</v>
      </c>
      <c r="B48" s="24">
        <v>482</v>
      </c>
      <c r="C48" s="32" t="s">
        <v>1710</v>
      </c>
      <c r="D48" s="24" t="s">
        <v>1692</v>
      </c>
      <c r="E48" s="24" t="s">
        <v>702</v>
      </c>
      <c r="F48" s="190" t="s">
        <v>1639</v>
      </c>
      <c r="G48" s="24" t="s">
        <v>1666</v>
      </c>
      <c r="H48" s="190" t="s">
        <v>1732</v>
      </c>
      <c r="I48" s="98">
        <v>6223876362</v>
      </c>
      <c r="J48" s="98">
        <v>264</v>
      </c>
      <c r="K48" s="35">
        <v>45335</v>
      </c>
      <c r="L48" s="99" t="s">
        <v>1203</v>
      </c>
      <c r="M48" s="99"/>
      <c r="N48" s="101">
        <v>45342</v>
      </c>
      <c r="O48" s="101"/>
      <c r="P48" s="101"/>
      <c r="Q48" s="101"/>
      <c r="R48" s="101"/>
      <c r="S48" s="35" t="s">
        <v>1827</v>
      </c>
      <c r="T48" s="48"/>
      <c r="U48" s="48"/>
      <c r="V48" s="48"/>
      <c r="W48" s="48"/>
      <c r="X48" s="48"/>
      <c r="Y48" s="231"/>
    </row>
    <row r="49" spans="1:25" ht="45.75" customHeight="1" x14ac:dyDescent="0.25">
      <c r="A49" s="24">
        <v>46</v>
      </c>
      <c r="B49" s="24">
        <v>483</v>
      </c>
      <c r="C49" s="32" t="s">
        <v>1869</v>
      </c>
      <c r="D49" s="24" t="s">
        <v>23</v>
      </c>
      <c r="E49" s="24" t="s">
        <v>889</v>
      </c>
      <c r="F49" s="190" t="s">
        <v>1952</v>
      </c>
      <c r="G49" s="24" t="s">
        <v>1870</v>
      </c>
      <c r="H49" s="145" t="s">
        <v>1879</v>
      </c>
      <c r="I49" s="98">
        <v>1751727695</v>
      </c>
      <c r="J49" s="98">
        <v>64</v>
      </c>
      <c r="K49" s="35">
        <v>45342</v>
      </c>
      <c r="L49" s="99" t="s">
        <v>1549</v>
      </c>
      <c r="M49" s="99"/>
      <c r="N49" s="101">
        <v>45345</v>
      </c>
      <c r="O49" s="101"/>
      <c r="P49" s="101"/>
      <c r="Q49" s="101"/>
      <c r="R49" s="101"/>
      <c r="S49" s="35" t="s">
        <v>1827</v>
      </c>
      <c r="T49" s="48"/>
      <c r="U49" s="48"/>
      <c r="V49" s="48"/>
      <c r="W49" s="48"/>
      <c r="X49" s="48"/>
      <c r="Y49" s="231"/>
    </row>
    <row r="50" spans="1:25" ht="45.75" customHeight="1" x14ac:dyDescent="0.25">
      <c r="A50" s="24">
        <v>47</v>
      </c>
      <c r="B50" s="24">
        <v>484</v>
      </c>
      <c r="C50" s="32" t="s">
        <v>1727</v>
      </c>
      <c r="D50" s="24" t="s">
        <v>1325</v>
      </c>
      <c r="E50" s="24" t="s">
        <v>1725</v>
      </c>
      <c r="F50" s="190" t="s">
        <v>1953</v>
      </c>
      <c r="G50" s="24" t="s">
        <v>1726</v>
      </c>
      <c r="H50" s="190" t="s">
        <v>1966</v>
      </c>
      <c r="I50" s="98">
        <v>13763471058</v>
      </c>
      <c r="J50" s="98">
        <v>674</v>
      </c>
      <c r="K50" s="35">
        <v>45343</v>
      </c>
      <c r="L50" s="99" t="s">
        <v>599</v>
      </c>
      <c r="M50" s="99"/>
      <c r="N50" s="101">
        <v>45348</v>
      </c>
      <c r="O50" s="101"/>
      <c r="P50" s="101"/>
      <c r="Q50" s="101"/>
      <c r="R50" s="101"/>
      <c r="S50" s="35" t="s">
        <v>1868</v>
      </c>
      <c r="T50" s="48"/>
      <c r="U50" s="48"/>
      <c r="V50" s="48"/>
      <c r="W50" s="48"/>
      <c r="X50" s="48"/>
      <c r="Y50" s="231"/>
    </row>
    <row r="51" spans="1:25" ht="45.75" customHeight="1" x14ac:dyDescent="0.25">
      <c r="A51" s="27">
        <v>48</v>
      </c>
      <c r="B51" s="27">
        <v>482</v>
      </c>
      <c r="C51" s="23" t="s">
        <v>1713</v>
      </c>
      <c r="D51" s="27" t="s">
        <v>1692</v>
      </c>
      <c r="E51" s="24" t="s">
        <v>702</v>
      </c>
      <c r="F51" s="190" t="s">
        <v>1639</v>
      </c>
      <c r="G51" s="27" t="s">
        <v>1666</v>
      </c>
      <c r="H51" s="190" t="s">
        <v>1732</v>
      </c>
      <c r="I51" s="116">
        <v>6223876362</v>
      </c>
      <c r="J51" s="116">
        <v>264</v>
      </c>
      <c r="K51" s="29">
        <v>45349</v>
      </c>
      <c r="L51" s="227" t="s">
        <v>1583</v>
      </c>
      <c r="M51" s="227"/>
      <c r="N51" s="233">
        <v>45355</v>
      </c>
      <c r="O51" s="233"/>
      <c r="P51" s="233"/>
      <c r="Q51" s="233"/>
      <c r="R51" s="233"/>
      <c r="S51" s="35" t="s">
        <v>1827</v>
      </c>
      <c r="T51" s="48"/>
      <c r="U51" s="48"/>
      <c r="V51" s="48"/>
      <c r="W51" s="48"/>
      <c r="X51" s="48"/>
      <c r="Y51" s="231"/>
    </row>
    <row r="52" spans="1:25" ht="45.75" customHeight="1" x14ac:dyDescent="0.25">
      <c r="A52" s="27">
        <v>49</v>
      </c>
      <c r="B52" s="27">
        <v>487</v>
      </c>
      <c r="C52" s="23" t="s">
        <v>1871</v>
      </c>
      <c r="D52" s="27" t="s">
        <v>1872</v>
      </c>
      <c r="E52" s="27" t="s">
        <v>1873</v>
      </c>
      <c r="F52" s="241" t="s">
        <v>1947</v>
      </c>
      <c r="G52" s="27" t="s">
        <v>1948</v>
      </c>
      <c r="H52" s="190" t="s">
        <v>1946</v>
      </c>
      <c r="I52" s="116">
        <v>5609699023</v>
      </c>
      <c r="J52" s="116">
        <v>209</v>
      </c>
      <c r="K52" s="29">
        <v>45408</v>
      </c>
      <c r="L52" s="227" t="s">
        <v>669</v>
      </c>
      <c r="M52" s="227"/>
      <c r="N52" s="233">
        <v>45415</v>
      </c>
      <c r="O52" s="233"/>
      <c r="P52" s="233"/>
      <c r="Q52" s="233"/>
      <c r="R52" s="233"/>
      <c r="S52" s="35" t="s">
        <v>1827</v>
      </c>
      <c r="T52" s="48"/>
      <c r="U52" s="48"/>
      <c r="V52" s="48"/>
      <c r="W52" s="48"/>
      <c r="X52" s="48"/>
      <c r="Y52" s="231"/>
    </row>
    <row r="53" spans="1:25" ht="45.75" customHeight="1" x14ac:dyDescent="0.25">
      <c r="A53" s="27">
        <v>50</v>
      </c>
      <c r="B53" s="27">
        <v>488</v>
      </c>
      <c r="C53" s="23" t="s">
        <v>1874</v>
      </c>
      <c r="D53" s="27" t="s">
        <v>1692</v>
      </c>
      <c r="E53" s="24" t="s">
        <v>699</v>
      </c>
      <c r="F53" s="145" t="s">
        <v>1626</v>
      </c>
      <c r="G53" s="145" t="s">
        <v>1592</v>
      </c>
      <c r="H53" s="145" t="s">
        <v>1663</v>
      </c>
      <c r="I53" s="116">
        <v>11265640030</v>
      </c>
      <c r="J53" s="116">
        <v>348</v>
      </c>
      <c r="K53" s="29">
        <v>45416</v>
      </c>
      <c r="L53" s="227" t="s">
        <v>680</v>
      </c>
      <c r="M53" s="227"/>
      <c r="N53" s="233">
        <v>45425</v>
      </c>
      <c r="O53" s="233"/>
      <c r="P53" s="233"/>
      <c r="Q53" s="233"/>
      <c r="R53" s="233"/>
      <c r="S53" s="35" t="s">
        <v>1827</v>
      </c>
      <c r="T53" s="48"/>
      <c r="U53" s="48"/>
      <c r="V53" s="48"/>
      <c r="W53" s="48"/>
      <c r="X53" s="48"/>
      <c r="Y53" s="231"/>
    </row>
    <row r="54" spans="1:25" ht="45.75" customHeight="1" x14ac:dyDescent="0.25">
      <c r="A54" s="27">
        <v>51</v>
      </c>
      <c r="B54" s="24">
        <v>489</v>
      </c>
      <c r="C54" s="32" t="s">
        <v>1875</v>
      </c>
      <c r="D54" s="27" t="s">
        <v>23</v>
      </c>
      <c r="E54" s="24" t="s">
        <v>817</v>
      </c>
      <c r="F54" s="145" t="s">
        <v>1628</v>
      </c>
      <c r="G54" s="24" t="s">
        <v>1455</v>
      </c>
      <c r="H54" s="145" t="s">
        <v>1629</v>
      </c>
      <c r="I54" s="98">
        <v>3103406715</v>
      </c>
      <c r="J54" s="98">
        <v>142</v>
      </c>
      <c r="K54" s="35">
        <v>45446</v>
      </c>
      <c r="L54" s="99" t="s">
        <v>594</v>
      </c>
      <c r="M54" s="233"/>
      <c r="N54" s="233">
        <v>45449</v>
      </c>
      <c r="O54" s="233"/>
      <c r="P54" s="233"/>
      <c r="Q54" s="29"/>
      <c r="R54" s="35"/>
      <c r="S54" s="35" t="s">
        <v>1827</v>
      </c>
      <c r="T54" s="48"/>
      <c r="U54" s="48"/>
      <c r="V54" s="48"/>
      <c r="W54" s="231"/>
    </row>
    <row r="55" spans="1:25" ht="45.75" customHeight="1" x14ac:dyDescent="0.25">
      <c r="A55" s="27">
        <v>52</v>
      </c>
      <c r="B55" s="24">
        <v>491</v>
      </c>
      <c r="C55" s="32" t="s">
        <v>1984</v>
      </c>
      <c r="D55" s="27" t="s">
        <v>1179</v>
      </c>
      <c r="E55" s="24" t="s">
        <v>716</v>
      </c>
      <c r="F55" s="190" t="s">
        <v>1949</v>
      </c>
      <c r="G55" s="24" t="s">
        <v>717</v>
      </c>
      <c r="H55" s="190" t="s">
        <v>1967</v>
      </c>
      <c r="I55" s="98">
        <v>2589603399</v>
      </c>
      <c r="J55" s="98">
        <v>102</v>
      </c>
      <c r="K55" s="35">
        <v>45457</v>
      </c>
      <c r="L55" s="99" t="s">
        <v>1880</v>
      </c>
      <c r="M55" s="233"/>
      <c r="N55" s="233">
        <v>45462</v>
      </c>
      <c r="O55" s="233">
        <v>45504</v>
      </c>
      <c r="P55" s="233"/>
      <c r="Q55" s="29"/>
      <c r="R55" s="35"/>
      <c r="S55" s="35" t="s">
        <v>1827</v>
      </c>
      <c r="T55" s="48"/>
      <c r="U55" s="48"/>
      <c r="V55" s="48"/>
      <c r="W55" s="231"/>
    </row>
    <row r="56" spans="1:25" ht="45.75" customHeight="1" x14ac:dyDescent="0.25">
      <c r="A56" s="27">
        <v>53</v>
      </c>
      <c r="B56" s="24">
        <v>492</v>
      </c>
      <c r="C56" s="32" t="s">
        <v>1813</v>
      </c>
      <c r="D56" s="27" t="s">
        <v>1814</v>
      </c>
      <c r="E56" s="24" t="s">
        <v>1815</v>
      </c>
      <c r="F56" s="145" t="s">
        <v>1816</v>
      </c>
      <c r="G56" s="24" t="s">
        <v>1817</v>
      </c>
      <c r="H56" s="145" t="s">
        <v>1818</v>
      </c>
      <c r="I56" s="98">
        <v>2479837000</v>
      </c>
      <c r="J56" s="98">
        <v>54</v>
      </c>
      <c r="K56" s="35">
        <v>45457</v>
      </c>
      <c r="L56" s="227" t="s">
        <v>1549</v>
      </c>
      <c r="M56" s="233"/>
      <c r="N56" s="233">
        <v>45462</v>
      </c>
      <c r="O56" s="233"/>
      <c r="P56" s="233"/>
      <c r="Q56" s="29"/>
      <c r="R56" s="35"/>
      <c r="S56" s="35" t="s">
        <v>1827</v>
      </c>
      <c r="T56" s="48"/>
      <c r="U56" s="48"/>
      <c r="V56" s="48"/>
      <c r="W56" s="231"/>
    </row>
    <row r="57" spans="1:25" ht="45.75" customHeight="1" x14ac:dyDescent="0.25">
      <c r="A57" s="27">
        <v>54</v>
      </c>
      <c r="B57" s="24">
        <v>493</v>
      </c>
      <c r="C57" s="32" t="s">
        <v>1727</v>
      </c>
      <c r="D57" s="24" t="s">
        <v>1325</v>
      </c>
      <c r="E57" s="24" t="s">
        <v>1725</v>
      </c>
      <c r="F57" s="190" t="s">
        <v>1953</v>
      </c>
      <c r="G57" s="24" t="s">
        <v>1726</v>
      </c>
      <c r="H57" s="190" t="s">
        <v>1966</v>
      </c>
      <c r="I57" s="98">
        <f>I50</f>
        <v>13763471058</v>
      </c>
      <c r="J57" s="98">
        <f>J50</f>
        <v>674</v>
      </c>
      <c r="K57" s="35">
        <v>45461</v>
      </c>
      <c r="L57" s="99" t="s">
        <v>599</v>
      </c>
      <c r="M57" s="233"/>
      <c r="N57" s="233">
        <v>45464</v>
      </c>
      <c r="O57" s="233"/>
      <c r="P57" s="233"/>
      <c r="Q57" s="29"/>
      <c r="R57" s="35"/>
      <c r="S57" s="35" t="s">
        <v>1827</v>
      </c>
      <c r="T57" s="48"/>
      <c r="U57" s="48"/>
      <c r="V57" s="48"/>
      <c r="W57" s="231"/>
    </row>
    <row r="58" spans="1:25" ht="45.75" customHeight="1" x14ac:dyDescent="0.25">
      <c r="A58" s="27">
        <v>55</v>
      </c>
      <c r="B58" s="24">
        <v>494</v>
      </c>
      <c r="C58" s="32" t="s">
        <v>1962</v>
      </c>
      <c r="D58" s="24" t="s">
        <v>1325</v>
      </c>
      <c r="E58" s="24" t="s">
        <v>1876</v>
      </c>
      <c r="F58" s="145" t="s">
        <v>1877</v>
      </c>
      <c r="G58" s="24" t="s">
        <v>1961</v>
      </c>
      <c r="H58" s="145" t="s">
        <v>1808</v>
      </c>
      <c r="I58" s="98">
        <v>10243010511</v>
      </c>
      <c r="J58" s="98">
        <v>377</v>
      </c>
      <c r="K58" s="35">
        <v>45462</v>
      </c>
      <c r="L58" s="99" t="s">
        <v>1297</v>
      </c>
      <c r="M58" s="233"/>
      <c r="N58" s="233">
        <v>45469</v>
      </c>
      <c r="O58" s="233"/>
      <c r="P58" s="233"/>
      <c r="Q58" s="29"/>
      <c r="R58" s="35"/>
      <c r="S58" s="35" t="s">
        <v>1827</v>
      </c>
      <c r="T58" s="48"/>
      <c r="U58" s="48"/>
      <c r="V58" s="48"/>
      <c r="W58" s="231"/>
    </row>
    <row r="59" spans="1:25" ht="45.75" customHeight="1" x14ac:dyDescent="0.25">
      <c r="A59" s="27">
        <v>56</v>
      </c>
      <c r="B59" s="24">
        <v>496</v>
      </c>
      <c r="C59" s="32" t="s">
        <v>1878</v>
      </c>
      <c r="D59" s="27" t="s">
        <v>23</v>
      </c>
      <c r="E59" s="13" t="s">
        <v>889</v>
      </c>
      <c r="F59" s="190" t="s">
        <v>1952</v>
      </c>
      <c r="G59" s="24" t="s">
        <v>1870</v>
      </c>
      <c r="H59" s="145" t="s">
        <v>1879</v>
      </c>
      <c r="I59" s="98">
        <v>2976295000</v>
      </c>
      <c r="J59" s="98">
        <v>120</v>
      </c>
      <c r="K59" s="35">
        <v>45463</v>
      </c>
      <c r="L59" s="99" t="s">
        <v>1880</v>
      </c>
      <c r="M59" s="233"/>
      <c r="N59" s="233">
        <v>45469</v>
      </c>
      <c r="O59" s="233"/>
      <c r="P59" s="233"/>
      <c r="Q59" s="29"/>
      <c r="R59" s="35"/>
      <c r="S59" s="35" t="s">
        <v>1827</v>
      </c>
      <c r="T59" s="48"/>
      <c r="U59" s="48"/>
      <c r="V59" s="48"/>
      <c r="W59" s="231"/>
    </row>
    <row r="60" spans="1:25" ht="45.75" customHeight="1" x14ac:dyDescent="0.25">
      <c r="A60" s="27">
        <v>57</v>
      </c>
      <c r="B60" s="24">
        <v>497</v>
      </c>
      <c r="C60" s="32" t="s">
        <v>1809</v>
      </c>
      <c r="D60" s="27" t="s">
        <v>1692</v>
      </c>
      <c r="E60" s="24" t="s">
        <v>702</v>
      </c>
      <c r="F60" s="190" t="s">
        <v>1639</v>
      </c>
      <c r="G60" s="24" t="s">
        <v>1811</v>
      </c>
      <c r="H60" s="145" t="s">
        <v>1812</v>
      </c>
      <c r="I60" s="98">
        <v>2835753390</v>
      </c>
      <c r="J60" s="98">
        <v>130</v>
      </c>
      <c r="K60" s="35">
        <v>45468</v>
      </c>
      <c r="L60" s="99" t="s">
        <v>594</v>
      </c>
      <c r="M60" s="233"/>
      <c r="N60" s="233">
        <v>45470</v>
      </c>
      <c r="O60" s="233"/>
      <c r="P60" s="233"/>
      <c r="Q60" s="29"/>
      <c r="R60" s="35"/>
      <c r="S60" s="35" t="s">
        <v>1827</v>
      </c>
      <c r="T60" s="48"/>
      <c r="U60" s="48"/>
      <c r="V60" s="48"/>
      <c r="W60" s="231"/>
    </row>
    <row r="61" spans="1:25" ht="45.75" customHeight="1" x14ac:dyDescent="0.25">
      <c r="A61" s="27">
        <v>58</v>
      </c>
      <c r="B61" s="24">
        <v>498</v>
      </c>
      <c r="C61" s="32" t="s">
        <v>1943</v>
      </c>
      <c r="D61" s="24" t="s">
        <v>1325</v>
      </c>
      <c r="E61" s="24" t="s">
        <v>1876</v>
      </c>
      <c r="F61" s="145" t="s">
        <v>1877</v>
      </c>
      <c r="G61" s="24" t="s">
        <v>1881</v>
      </c>
      <c r="H61" s="145" t="s">
        <v>1882</v>
      </c>
      <c r="I61" s="98">
        <v>5936601406</v>
      </c>
      <c r="J61" s="98">
        <v>188</v>
      </c>
      <c r="K61" s="35">
        <v>45482</v>
      </c>
      <c r="L61" s="99" t="s">
        <v>1312</v>
      </c>
      <c r="M61" s="233"/>
      <c r="N61" s="233">
        <v>45485</v>
      </c>
      <c r="O61" s="233"/>
      <c r="P61" s="233"/>
      <c r="Q61" s="29"/>
      <c r="R61" s="35"/>
      <c r="S61" s="35" t="s">
        <v>1827</v>
      </c>
      <c r="T61" s="48"/>
      <c r="U61" s="48"/>
      <c r="V61" s="48"/>
      <c r="W61" s="231"/>
    </row>
    <row r="62" spans="1:25" ht="45.75" customHeight="1" x14ac:dyDescent="0.25">
      <c r="A62" s="27">
        <v>59</v>
      </c>
      <c r="B62" s="24">
        <v>499</v>
      </c>
      <c r="C62" s="32" t="s">
        <v>1883</v>
      </c>
      <c r="D62" s="24" t="s">
        <v>1325</v>
      </c>
      <c r="E62" s="24" t="s">
        <v>716</v>
      </c>
      <c r="F62" s="190" t="s">
        <v>1949</v>
      </c>
      <c r="G62" s="145" t="s">
        <v>1582</v>
      </c>
      <c r="H62" s="145" t="s">
        <v>1669</v>
      </c>
      <c r="I62" s="98">
        <v>6454916135</v>
      </c>
      <c r="J62" s="98">
        <v>80</v>
      </c>
      <c r="K62" s="35">
        <v>45489</v>
      </c>
      <c r="L62" s="99" t="s">
        <v>1884</v>
      </c>
      <c r="M62" s="233"/>
      <c r="N62" s="233">
        <v>45493</v>
      </c>
      <c r="O62" s="233"/>
      <c r="P62" s="233"/>
      <c r="Q62" s="29"/>
      <c r="R62" s="35"/>
      <c r="S62" s="35" t="s">
        <v>1827</v>
      </c>
      <c r="T62" s="48"/>
      <c r="U62" s="48"/>
      <c r="V62" s="48"/>
      <c r="W62" s="231"/>
    </row>
    <row r="63" spans="1:25" ht="45.75" customHeight="1" x14ac:dyDescent="0.25">
      <c r="A63" s="27">
        <v>60</v>
      </c>
      <c r="B63" s="24">
        <v>500</v>
      </c>
      <c r="C63" s="32" t="s">
        <v>1985</v>
      </c>
      <c r="D63" s="24" t="s">
        <v>1325</v>
      </c>
      <c r="E63" s="24" t="s">
        <v>1986</v>
      </c>
      <c r="F63" s="190" t="s">
        <v>1989</v>
      </c>
      <c r="G63" s="145" t="s">
        <v>1987</v>
      </c>
      <c r="H63" s="145" t="s">
        <v>1990</v>
      </c>
      <c r="I63" s="98">
        <v>4829386412</v>
      </c>
      <c r="J63" s="98">
        <v>180</v>
      </c>
      <c r="K63" s="35">
        <v>45510</v>
      </c>
      <c r="L63" s="99" t="s">
        <v>1583</v>
      </c>
      <c r="M63" s="233"/>
      <c r="N63" s="233">
        <v>45516</v>
      </c>
      <c r="O63" s="233"/>
      <c r="P63" s="233"/>
      <c r="Q63" s="29"/>
      <c r="R63" s="35"/>
      <c r="S63" s="35" t="s">
        <v>1823</v>
      </c>
      <c r="T63" s="48"/>
      <c r="U63" s="48"/>
      <c r="V63" s="48"/>
      <c r="W63" s="231"/>
    </row>
    <row r="64" spans="1:25" ht="45.75" customHeight="1" x14ac:dyDescent="0.25">
      <c r="A64" s="27">
        <v>61</v>
      </c>
      <c r="B64" s="24">
        <v>501</v>
      </c>
      <c r="C64" s="32" t="s">
        <v>2014</v>
      </c>
      <c r="D64" s="24" t="s">
        <v>1336</v>
      </c>
      <c r="E64" s="13" t="s">
        <v>889</v>
      </c>
      <c r="F64" s="190" t="s">
        <v>1952</v>
      </c>
      <c r="G64" s="145" t="s">
        <v>2012</v>
      </c>
      <c r="H64" s="145" t="s">
        <v>2013</v>
      </c>
      <c r="I64" s="98">
        <v>7497531000</v>
      </c>
      <c r="J64" s="98">
        <v>341</v>
      </c>
      <c r="K64" s="35">
        <v>45524</v>
      </c>
      <c r="L64" s="99" t="s">
        <v>1880</v>
      </c>
      <c r="M64" s="233"/>
      <c r="N64" s="233">
        <v>45532</v>
      </c>
      <c r="O64" s="233"/>
      <c r="P64" s="233"/>
      <c r="Q64" s="29"/>
      <c r="R64" s="35"/>
      <c r="S64" s="35" t="s">
        <v>1827</v>
      </c>
      <c r="T64" s="48"/>
      <c r="U64" s="48"/>
      <c r="V64" s="48"/>
      <c r="W64" s="231"/>
    </row>
    <row r="65" spans="1:25" ht="45.75" customHeight="1" x14ac:dyDescent="0.25">
      <c r="A65" s="27">
        <v>62</v>
      </c>
      <c r="B65" s="24">
        <v>502</v>
      </c>
      <c r="C65" s="32" t="s">
        <v>2033</v>
      </c>
      <c r="D65" s="27" t="s">
        <v>1692</v>
      </c>
      <c r="E65" s="13" t="s">
        <v>2029</v>
      </c>
      <c r="F65" s="190" t="s">
        <v>2030</v>
      </c>
      <c r="G65" s="145" t="s">
        <v>2031</v>
      </c>
      <c r="H65" s="145" t="s">
        <v>2032</v>
      </c>
      <c r="I65" s="98">
        <v>5526120000</v>
      </c>
      <c r="J65" s="98">
        <v>176</v>
      </c>
      <c r="K65" s="35">
        <v>45531</v>
      </c>
      <c r="L65" s="99" t="s">
        <v>594</v>
      </c>
      <c r="M65" s="233"/>
      <c r="N65" s="233">
        <v>45538</v>
      </c>
      <c r="O65" s="233"/>
      <c r="P65" s="233"/>
      <c r="Q65" s="29"/>
      <c r="R65" s="35"/>
      <c r="S65" s="35" t="s">
        <v>1823</v>
      </c>
      <c r="T65" s="48"/>
      <c r="U65" s="48"/>
      <c r="V65" s="48"/>
      <c r="W65" s="231"/>
    </row>
    <row r="66" spans="1:25" ht="45.75" customHeight="1" x14ac:dyDescent="0.25">
      <c r="A66" s="27">
        <v>63</v>
      </c>
      <c r="B66" s="24">
        <v>503</v>
      </c>
      <c r="C66" s="32" t="s">
        <v>2407</v>
      </c>
      <c r="D66" s="24" t="s">
        <v>1325</v>
      </c>
      <c r="E66" s="13" t="s">
        <v>1876</v>
      </c>
      <c r="F66" s="145" t="s">
        <v>1877</v>
      </c>
      <c r="G66" s="145" t="s">
        <v>2061</v>
      </c>
      <c r="H66" s="145" t="s">
        <v>2060</v>
      </c>
      <c r="I66" s="98">
        <v>14447740390</v>
      </c>
      <c r="J66" s="98">
        <v>360</v>
      </c>
      <c r="K66" s="35">
        <v>45545</v>
      </c>
      <c r="L66" s="99" t="s">
        <v>669</v>
      </c>
      <c r="M66" s="233"/>
      <c r="N66" s="233">
        <v>45553</v>
      </c>
      <c r="O66" s="233"/>
      <c r="P66" s="233"/>
      <c r="Q66" s="29"/>
      <c r="R66" s="35"/>
      <c r="S66" s="35" t="s">
        <v>1823</v>
      </c>
      <c r="T66" s="48"/>
      <c r="U66" s="48"/>
      <c r="V66" s="48"/>
      <c r="W66" s="231"/>
    </row>
    <row r="67" spans="1:25" ht="45.75" customHeight="1" x14ac:dyDescent="0.25">
      <c r="A67" s="27">
        <v>64</v>
      </c>
      <c r="B67" s="24">
        <v>504</v>
      </c>
      <c r="C67" s="32" t="s">
        <v>2408</v>
      </c>
      <c r="D67" s="24" t="s">
        <v>759</v>
      </c>
      <c r="E67" s="13" t="s">
        <v>2063</v>
      </c>
      <c r="F67" s="145" t="s">
        <v>2064</v>
      </c>
      <c r="G67" s="145" t="s">
        <v>2065</v>
      </c>
      <c r="H67" s="145" t="s">
        <v>2067</v>
      </c>
      <c r="I67" s="98">
        <v>1875024849</v>
      </c>
      <c r="J67" s="98">
        <v>106</v>
      </c>
      <c r="K67" s="35">
        <v>45547</v>
      </c>
      <c r="L67" s="99" t="s">
        <v>669</v>
      </c>
      <c r="M67" s="233"/>
      <c r="N67" s="233">
        <v>45553</v>
      </c>
      <c r="O67" s="233"/>
      <c r="P67" s="233"/>
      <c r="Q67" s="29"/>
      <c r="R67" s="35"/>
      <c r="S67" s="35" t="s">
        <v>1827</v>
      </c>
      <c r="T67" s="48"/>
      <c r="U67" s="48"/>
      <c r="V67" s="48"/>
      <c r="W67" s="231"/>
    </row>
    <row r="68" spans="1:25" ht="45.75" customHeight="1" x14ac:dyDescent="0.25">
      <c r="A68" s="27">
        <v>65</v>
      </c>
      <c r="B68" s="24">
        <v>505</v>
      </c>
      <c r="C68" s="32" t="s">
        <v>2409</v>
      </c>
      <c r="D68" s="27" t="s">
        <v>1814</v>
      </c>
      <c r="E68" s="24" t="s">
        <v>1815</v>
      </c>
      <c r="F68" s="145" t="s">
        <v>1816</v>
      </c>
      <c r="G68" s="24" t="s">
        <v>1817</v>
      </c>
      <c r="H68" s="145" t="s">
        <v>1818</v>
      </c>
      <c r="I68" s="98">
        <v>5803005597</v>
      </c>
      <c r="J68" s="98">
        <v>126</v>
      </c>
      <c r="K68" s="35">
        <v>45555</v>
      </c>
      <c r="L68" s="99" t="s">
        <v>594</v>
      </c>
      <c r="M68" s="233"/>
      <c r="N68" s="233">
        <v>45559</v>
      </c>
      <c r="O68" s="233"/>
      <c r="P68" s="233"/>
      <c r="Q68" s="29"/>
      <c r="R68" s="35"/>
      <c r="S68" s="35" t="s">
        <v>1827</v>
      </c>
      <c r="T68" s="48"/>
      <c r="U68" s="48"/>
      <c r="V68" s="48"/>
      <c r="W68" s="231"/>
    </row>
    <row r="69" spans="1:25" ht="45.75" customHeight="1" x14ac:dyDescent="0.25">
      <c r="A69" s="27">
        <v>66</v>
      </c>
      <c r="B69" s="24">
        <v>506</v>
      </c>
      <c r="C69" s="32" t="s">
        <v>2394</v>
      </c>
      <c r="D69" s="27" t="s">
        <v>174</v>
      </c>
      <c r="E69" s="557" t="s">
        <v>2395</v>
      </c>
      <c r="F69" s="145" t="s">
        <v>2030</v>
      </c>
      <c r="G69" s="558" t="s">
        <v>2396</v>
      </c>
      <c r="H69" s="559" t="s">
        <v>2397</v>
      </c>
      <c r="I69" s="36">
        <v>2444109983</v>
      </c>
      <c r="J69" s="36">
        <v>75</v>
      </c>
      <c r="K69" s="35">
        <v>45588</v>
      </c>
      <c r="L69" s="99" t="s">
        <v>607</v>
      </c>
      <c r="M69" s="233"/>
      <c r="N69" s="233"/>
      <c r="O69" s="233"/>
      <c r="P69" s="233"/>
      <c r="Q69" s="29"/>
      <c r="R69" s="35"/>
      <c r="S69" s="35"/>
      <c r="T69" s="48"/>
      <c r="U69" s="48"/>
      <c r="V69" s="48"/>
      <c r="W69" s="231"/>
    </row>
    <row r="70" spans="1:25" ht="45.75" customHeight="1" x14ac:dyDescent="0.25">
      <c r="A70" s="27">
        <v>67</v>
      </c>
      <c r="B70" s="24">
        <v>507</v>
      </c>
      <c r="C70" s="32" t="s">
        <v>2398</v>
      </c>
      <c r="D70" s="24" t="s">
        <v>1325</v>
      </c>
      <c r="E70" s="24" t="s">
        <v>716</v>
      </c>
      <c r="F70" s="190" t="s">
        <v>1949</v>
      </c>
      <c r="G70" s="24" t="s">
        <v>2399</v>
      </c>
      <c r="H70" s="145" t="s">
        <v>2400</v>
      </c>
      <c r="I70" s="98">
        <v>11198517207</v>
      </c>
      <c r="J70" s="98">
        <v>298</v>
      </c>
      <c r="K70" s="35">
        <v>45588</v>
      </c>
      <c r="L70" s="99" t="s">
        <v>1525</v>
      </c>
      <c r="M70" s="233"/>
      <c r="N70" s="233"/>
      <c r="O70" s="233"/>
      <c r="P70" s="233"/>
      <c r="Q70" s="29"/>
      <c r="R70" s="35"/>
      <c r="S70" s="35"/>
      <c r="T70" s="48"/>
      <c r="U70" s="48"/>
      <c r="V70" s="48"/>
      <c r="W70" s="231"/>
    </row>
    <row r="71" spans="1:25" ht="45.75" customHeight="1" x14ac:dyDescent="0.25">
      <c r="A71" s="27">
        <v>68</v>
      </c>
      <c r="B71" s="24">
        <v>508</v>
      </c>
      <c r="C71" s="32" t="s">
        <v>2404</v>
      </c>
      <c r="D71" s="24" t="s">
        <v>1325</v>
      </c>
      <c r="E71" s="27" t="s">
        <v>974</v>
      </c>
      <c r="F71" s="241" t="s">
        <v>1654</v>
      </c>
      <c r="G71" s="24" t="s">
        <v>2405</v>
      </c>
      <c r="H71" s="145" t="s">
        <v>2406</v>
      </c>
      <c r="I71" s="98">
        <v>5052468155</v>
      </c>
      <c r="J71" s="98">
        <v>152</v>
      </c>
      <c r="K71" s="35">
        <v>45593</v>
      </c>
      <c r="L71" s="99" t="s">
        <v>681</v>
      </c>
      <c r="M71" s="233"/>
      <c r="N71" s="233"/>
      <c r="O71" s="233"/>
      <c r="P71" s="233"/>
      <c r="Q71" s="29"/>
      <c r="R71" s="35"/>
      <c r="S71" s="35"/>
      <c r="T71" s="48"/>
      <c r="U71" s="48"/>
      <c r="V71" s="48"/>
      <c r="W71" s="231"/>
    </row>
    <row r="72" spans="1:25" ht="45.75" customHeight="1" x14ac:dyDescent="0.25">
      <c r="A72" s="27">
        <v>69</v>
      </c>
      <c r="B72" s="24">
        <v>509</v>
      </c>
      <c r="C72" s="32" t="s">
        <v>2414</v>
      </c>
      <c r="D72" s="24" t="s">
        <v>1325</v>
      </c>
      <c r="E72" s="27" t="s">
        <v>974</v>
      </c>
      <c r="F72" s="241" t="s">
        <v>1654</v>
      </c>
      <c r="G72" s="24" t="s">
        <v>2412</v>
      </c>
      <c r="H72" s="145" t="s">
        <v>2413</v>
      </c>
      <c r="I72" s="98">
        <v>10028502500</v>
      </c>
      <c r="J72" s="98">
        <v>272</v>
      </c>
      <c r="K72" s="35">
        <v>45594</v>
      </c>
      <c r="L72" s="99" t="s">
        <v>607</v>
      </c>
      <c r="M72" s="233"/>
      <c r="N72" s="233"/>
      <c r="O72" s="233"/>
      <c r="P72" s="233"/>
      <c r="Q72" s="29"/>
      <c r="R72" s="35"/>
      <c r="S72" s="35"/>
      <c r="T72" s="48"/>
      <c r="U72" s="48"/>
      <c r="V72" s="48"/>
      <c r="W72" s="231"/>
    </row>
    <row r="73" spans="1:25" ht="45.75" customHeight="1" x14ac:dyDescent="0.25">
      <c r="A73" s="37"/>
      <c r="B73" s="37"/>
      <c r="C73" s="37" t="s">
        <v>54</v>
      </c>
      <c r="D73" s="37"/>
      <c r="E73" s="37"/>
      <c r="F73" s="37"/>
      <c r="G73" s="37"/>
      <c r="H73" s="37"/>
      <c r="I73" s="38">
        <f>SUM(I3:I72)</f>
        <v>437855427110.47314</v>
      </c>
      <c r="J73" s="38">
        <f>SUM(J3:J72)</f>
        <v>15099</v>
      </c>
      <c r="K73" s="39"/>
      <c r="L73" s="39"/>
      <c r="M73" s="39"/>
      <c r="N73" s="38"/>
      <c r="O73" s="38"/>
      <c r="P73" s="38"/>
      <c r="Q73" s="38"/>
      <c r="R73" s="38"/>
      <c r="S73" s="38"/>
      <c r="T73" s="235"/>
      <c r="U73" s="235"/>
      <c r="V73" s="235"/>
      <c r="W73" s="235"/>
      <c r="X73" s="235"/>
      <c r="Y73" s="235"/>
    </row>
    <row r="74" spans="1:25" ht="59.25" customHeight="1" x14ac:dyDescent="0.25">
      <c r="G74" s="49"/>
      <c r="H74" s="242"/>
      <c r="J74" s="141"/>
      <c r="K74" s="141"/>
    </row>
    <row r="76" spans="1:25" x14ac:dyDescent="0.25">
      <c r="I76" s="141"/>
      <c r="J76" s="141"/>
    </row>
  </sheetData>
  <autoFilter ref="A2:S73"/>
  <mergeCells count="1">
    <mergeCell ref="B1:E1"/>
  </mergeCells>
  <pageMargins left="0.7" right="0.7" top="0.75" bottom="0.75" header="0.3" footer="0.3"/>
  <pageSetup paperSize="9" scale="21" orientation="landscape" r:id="rId1"/>
  <colBreaks count="1" manualBreakCount="1">
    <brk id="3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Y79"/>
  <sheetViews>
    <sheetView view="pageBreakPreview" topLeftCell="A52" zoomScale="70" zoomScaleNormal="70" zoomScaleSheetLayoutView="70" workbookViewId="0">
      <selection activeCell="G61" sqref="G61"/>
    </sheetView>
  </sheetViews>
  <sheetFormatPr defaultColWidth="9.28515625" defaultRowHeight="15.75" x14ac:dyDescent="0.25"/>
  <cols>
    <col min="1" max="1" width="5.7109375" style="19" customWidth="1"/>
    <col min="2" max="2" width="43.85546875" style="19" customWidth="1"/>
    <col min="3" max="3" width="22.7109375" style="19" customWidth="1"/>
    <col min="4" max="4" width="26.85546875" style="19" customWidth="1"/>
    <col min="5" max="5" width="27.42578125" style="19" customWidth="1"/>
    <col min="6" max="6" width="27.5703125" style="19" customWidth="1"/>
    <col min="7" max="7" width="23.5703125" style="19" customWidth="1"/>
    <col min="8" max="8" width="19.7109375" style="19" customWidth="1"/>
    <col min="9" max="9" width="18.5703125" style="19" customWidth="1"/>
    <col min="10" max="10" width="15.28515625" style="19" customWidth="1"/>
    <col min="11" max="11" width="22.42578125" style="19" customWidth="1"/>
    <col min="12" max="12" width="22.7109375" style="19" customWidth="1"/>
    <col min="13" max="13" width="18.28515625" style="19" customWidth="1"/>
    <col min="14" max="14" width="22.28515625" style="19" customWidth="1"/>
    <col min="15" max="15" width="20.42578125" style="19" customWidth="1"/>
    <col min="16" max="16" width="25.7109375" style="19" customWidth="1"/>
    <col min="17" max="17" width="18.7109375" style="19" customWidth="1"/>
    <col min="18" max="18" width="15.85546875" style="19" customWidth="1"/>
    <col min="19" max="19" width="19.85546875" style="19" customWidth="1"/>
    <col min="20" max="20" width="16" style="19" customWidth="1"/>
    <col min="21" max="21" width="17" style="19" customWidth="1"/>
    <col min="22" max="22" width="19.7109375" style="19" bestFit="1" customWidth="1"/>
    <col min="23" max="23" width="23.42578125" style="19" bestFit="1" customWidth="1"/>
    <col min="24" max="24" width="18.7109375" style="19" bestFit="1" customWidth="1"/>
    <col min="25" max="25" width="20.5703125" style="19" customWidth="1"/>
    <col min="26" max="26" width="32.85546875" style="19" customWidth="1"/>
    <col min="27" max="28" width="11.42578125" style="19" customWidth="1"/>
    <col min="29" max="16384" width="9.28515625" style="19"/>
  </cols>
  <sheetData>
    <row r="1" spans="1:25" ht="39.75" customHeight="1" x14ac:dyDescent="0.25">
      <c r="B1" s="119" t="s">
        <v>1482</v>
      </c>
      <c r="C1" s="119"/>
      <c r="D1" s="20"/>
      <c r="J1" s="120"/>
    </row>
    <row r="2" spans="1:25" ht="41.25" customHeight="1" x14ac:dyDescent="0.25">
      <c r="A2" s="21" t="s">
        <v>0</v>
      </c>
      <c r="B2" s="21" t="s">
        <v>794</v>
      </c>
      <c r="C2" s="21" t="s">
        <v>751</v>
      </c>
      <c r="D2" s="21" t="s">
        <v>752</v>
      </c>
      <c r="E2" s="21" t="s">
        <v>749</v>
      </c>
      <c r="F2" s="21" t="s">
        <v>748</v>
      </c>
      <c r="G2" s="21" t="s">
        <v>26</v>
      </c>
      <c r="H2" s="21" t="s">
        <v>177</v>
      </c>
      <c r="I2" s="21" t="s">
        <v>178</v>
      </c>
      <c r="J2" s="121"/>
      <c r="S2" s="74"/>
      <c r="T2" s="74"/>
      <c r="U2" s="74"/>
      <c r="V2" s="74"/>
      <c r="W2" s="74"/>
      <c r="X2" s="74"/>
      <c r="Y2" s="74"/>
    </row>
    <row r="3" spans="1:25" ht="31.5" x14ac:dyDescent="0.25">
      <c r="A3" s="54">
        <v>1</v>
      </c>
      <c r="B3" s="32" t="s">
        <v>2383</v>
      </c>
      <c r="C3" s="24"/>
      <c r="D3" s="24" t="s">
        <v>174</v>
      </c>
      <c r="E3" s="13" t="s">
        <v>993</v>
      </c>
      <c r="F3" s="13" t="s">
        <v>990</v>
      </c>
      <c r="G3" s="25">
        <v>3179849587</v>
      </c>
      <c r="H3" s="33">
        <v>25750.68</v>
      </c>
      <c r="I3" s="58">
        <v>432</v>
      </c>
      <c r="J3" s="122"/>
      <c r="S3" s="107"/>
      <c r="T3" s="107"/>
      <c r="U3" s="107"/>
      <c r="V3" s="88"/>
      <c r="W3" s="59"/>
      <c r="X3" s="59"/>
      <c r="Y3" s="59"/>
    </row>
    <row r="4" spans="1:25" ht="24" customHeight="1" x14ac:dyDescent="0.25">
      <c r="A4" s="54">
        <v>2</v>
      </c>
      <c r="B4" s="32" t="s">
        <v>986</v>
      </c>
      <c r="C4" s="35">
        <v>44714</v>
      </c>
      <c r="D4" s="24" t="s">
        <v>23</v>
      </c>
      <c r="E4" s="79" t="s">
        <v>994</v>
      </c>
      <c r="F4" s="79" t="s">
        <v>989</v>
      </c>
      <c r="G4" s="25">
        <v>3195524000</v>
      </c>
      <c r="H4" s="33">
        <v>8444.74</v>
      </c>
      <c r="I4" s="25">
        <v>120</v>
      </c>
      <c r="J4" s="123"/>
      <c r="S4" s="49"/>
      <c r="T4" s="49"/>
      <c r="U4" s="49"/>
      <c r="V4" s="46"/>
      <c r="W4" s="59"/>
      <c r="X4" s="59"/>
      <c r="Y4" s="59"/>
    </row>
    <row r="5" spans="1:25" ht="23.25" customHeight="1" x14ac:dyDescent="0.25">
      <c r="A5" s="54">
        <v>3</v>
      </c>
      <c r="B5" s="32" t="s">
        <v>987</v>
      </c>
      <c r="C5" s="35">
        <v>44722</v>
      </c>
      <c r="D5" s="24" t="s">
        <v>174</v>
      </c>
      <c r="E5" s="79" t="s">
        <v>995</v>
      </c>
      <c r="F5" s="79" t="s">
        <v>991</v>
      </c>
      <c r="G5" s="25">
        <v>872636238</v>
      </c>
      <c r="H5" s="33" t="s">
        <v>455</v>
      </c>
      <c r="I5" s="25">
        <v>50</v>
      </c>
      <c r="J5" s="123"/>
      <c r="S5" s="49"/>
      <c r="T5" s="49"/>
      <c r="U5" s="49"/>
      <c r="V5" s="46"/>
      <c r="W5" s="59"/>
      <c r="X5" s="59"/>
      <c r="Y5" s="59"/>
    </row>
    <row r="6" spans="1:25" ht="31.5" x14ac:dyDescent="0.25">
      <c r="A6" s="54">
        <v>4</v>
      </c>
      <c r="B6" s="32" t="s">
        <v>988</v>
      </c>
      <c r="C6" s="35">
        <v>44722</v>
      </c>
      <c r="D6" s="24" t="s">
        <v>174</v>
      </c>
      <c r="E6" s="79" t="s">
        <v>995</v>
      </c>
      <c r="F6" s="79" t="s">
        <v>992</v>
      </c>
      <c r="G6" s="25">
        <v>1703254300</v>
      </c>
      <c r="H6" s="33">
        <v>6258.77</v>
      </c>
      <c r="I6" s="25">
        <v>52</v>
      </c>
      <c r="J6" s="123"/>
      <c r="S6" s="49"/>
      <c r="T6" s="49"/>
      <c r="U6" s="49"/>
      <c r="V6" s="46"/>
      <c r="W6" s="59"/>
      <c r="X6" s="59"/>
      <c r="Y6" s="59"/>
    </row>
    <row r="7" spans="1:25" x14ac:dyDescent="0.25">
      <c r="A7" s="54">
        <v>5</v>
      </c>
      <c r="B7" s="32" t="s">
        <v>1710</v>
      </c>
      <c r="C7" s="35">
        <v>45399</v>
      </c>
      <c r="D7" s="24" t="s">
        <v>1692</v>
      </c>
      <c r="E7" s="24" t="s">
        <v>702</v>
      </c>
      <c r="F7" s="24" t="s">
        <v>1666</v>
      </c>
      <c r="G7" s="98">
        <v>6223876362</v>
      </c>
      <c r="H7" s="98">
        <v>13855.48</v>
      </c>
      <c r="I7" s="24">
        <v>264</v>
      </c>
      <c r="J7" s="123"/>
      <c r="S7" s="49"/>
      <c r="T7" s="49"/>
      <c r="U7" s="49"/>
      <c r="V7" s="46"/>
      <c r="W7" s="59"/>
      <c r="X7" s="59"/>
      <c r="Y7" s="59"/>
    </row>
    <row r="8" spans="1:25" x14ac:dyDescent="0.25">
      <c r="A8" s="54">
        <v>6</v>
      </c>
      <c r="B8" s="32" t="s">
        <v>2057</v>
      </c>
      <c r="C8" s="35">
        <v>45520</v>
      </c>
      <c r="D8" s="27" t="s">
        <v>1814</v>
      </c>
      <c r="E8" s="24" t="s">
        <v>1815</v>
      </c>
      <c r="F8" s="24" t="s">
        <v>1817</v>
      </c>
      <c r="G8" s="98">
        <v>5803005597</v>
      </c>
      <c r="H8" s="240">
        <v>14921.84</v>
      </c>
      <c r="I8" s="98">
        <v>126</v>
      </c>
      <c r="J8" s="123"/>
      <c r="S8" s="49"/>
      <c r="T8" s="49"/>
      <c r="U8" s="49"/>
      <c r="V8" s="46"/>
      <c r="W8" s="59"/>
      <c r="X8" s="59"/>
      <c r="Y8" s="59"/>
    </row>
    <row r="9" spans="1:25" ht="31.5" x14ac:dyDescent="0.25">
      <c r="A9" s="54">
        <v>7</v>
      </c>
      <c r="B9" s="537" t="s">
        <v>2055</v>
      </c>
      <c r="C9" s="35">
        <v>45575</v>
      </c>
      <c r="D9" s="27" t="s">
        <v>1325</v>
      </c>
      <c r="E9" s="24" t="s">
        <v>1986</v>
      </c>
      <c r="F9" s="24" t="s">
        <v>2378</v>
      </c>
      <c r="G9" s="28">
        <v>4829386412</v>
      </c>
      <c r="H9" s="240">
        <v>13122.41</v>
      </c>
      <c r="I9" s="98">
        <v>180</v>
      </c>
      <c r="J9" s="123"/>
      <c r="S9" s="49"/>
      <c r="T9" s="49"/>
      <c r="U9" s="49"/>
      <c r="V9" s="46"/>
      <c r="W9" s="59"/>
      <c r="X9" s="59"/>
      <c r="Y9" s="59"/>
    </row>
    <row r="10" spans="1:25" ht="25.5" customHeight="1" x14ac:dyDescent="0.25">
      <c r="A10" s="75"/>
      <c r="B10" s="37" t="s">
        <v>54</v>
      </c>
      <c r="C10" s="37"/>
      <c r="D10" s="37"/>
      <c r="E10" s="75"/>
      <c r="F10" s="75"/>
      <c r="G10" s="76">
        <f>SUM(G3:G9)</f>
        <v>25807532496</v>
      </c>
      <c r="H10" s="76">
        <f t="shared" ref="H10:I10" si="0">SUM(H3:H9)</f>
        <v>82353.919999999998</v>
      </c>
      <c r="I10" s="76">
        <f t="shared" si="0"/>
        <v>1224</v>
      </c>
      <c r="J10" s="124"/>
    </row>
    <row r="11" spans="1:25" ht="41.25" customHeight="1" x14ac:dyDescent="0.25">
      <c r="B11" s="119" t="s">
        <v>1488</v>
      </c>
      <c r="C11" s="119"/>
      <c r="D11" s="20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ht="48.75" customHeight="1" x14ac:dyDescent="0.25">
      <c r="A12" s="21" t="s">
        <v>0</v>
      </c>
      <c r="B12" s="21" t="s">
        <v>794</v>
      </c>
      <c r="C12" s="21" t="s">
        <v>751</v>
      </c>
      <c r="D12" s="21" t="s">
        <v>1390</v>
      </c>
      <c r="E12" s="21" t="s">
        <v>749</v>
      </c>
      <c r="F12" s="21" t="s">
        <v>748</v>
      </c>
      <c r="G12" s="21" t="s">
        <v>26</v>
      </c>
      <c r="H12" s="21" t="s">
        <v>30</v>
      </c>
      <c r="I12" s="21" t="s">
        <v>521</v>
      </c>
      <c r="J12" s="21" t="s">
        <v>1452</v>
      </c>
      <c r="K12" s="21" t="s">
        <v>519</v>
      </c>
      <c r="L12" s="21" t="s">
        <v>1358</v>
      </c>
      <c r="M12" s="21" t="s">
        <v>515</v>
      </c>
      <c r="N12" s="21" t="s">
        <v>516</v>
      </c>
      <c r="O12" s="21" t="s">
        <v>586</v>
      </c>
      <c r="P12" s="21" t="s">
        <v>517</v>
      </c>
      <c r="Q12" s="21" t="s">
        <v>518</v>
      </c>
      <c r="R12" s="73" t="s">
        <v>522</v>
      </c>
      <c r="S12" s="128"/>
      <c r="T12" s="21" t="s">
        <v>1358</v>
      </c>
      <c r="U12" s="21" t="s">
        <v>515</v>
      </c>
      <c r="V12" s="21" t="s">
        <v>516</v>
      </c>
      <c r="W12" s="21" t="s">
        <v>586</v>
      </c>
      <c r="X12" s="21" t="s">
        <v>517</v>
      </c>
      <c r="Y12" s="21" t="s">
        <v>518</v>
      </c>
    </row>
    <row r="13" spans="1:25" ht="78.75" x14ac:dyDescent="0.25">
      <c r="A13" s="24">
        <v>6</v>
      </c>
      <c r="B13" s="32" t="s">
        <v>590</v>
      </c>
      <c r="C13" s="27" t="s">
        <v>1490</v>
      </c>
      <c r="D13" s="27" t="s">
        <v>1448</v>
      </c>
      <c r="E13" s="27" t="s">
        <v>758</v>
      </c>
      <c r="F13" s="27" t="s">
        <v>1169</v>
      </c>
      <c r="G13" s="98">
        <v>758935700</v>
      </c>
      <c r="H13" s="98">
        <v>75</v>
      </c>
      <c r="I13" s="35">
        <v>44757</v>
      </c>
      <c r="J13" s="22">
        <v>232</v>
      </c>
      <c r="K13" s="99" t="s">
        <v>547</v>
      </c>
      <c r="L13" s="100">
        <v>44762</v>
      </c>
      <c r="M13" s="35">
        <v>44762</v>
      </c>
      <c r="N13" s="35">
        <v>44761</v>
      </c>
      <c r="O13" s="100">
        <v>44762</v>
      </c>
      <c r="P13" s="100">
        <v>44762</v>
      </c>
      <c r="Q13" s="35">
        <v>44771</v>
      </c>
      <c r="R13" s="101">
        <v>44774</v>
      </c>
      <c r="S13" s="101" t="s">
        <v>1160</v>
      </c>
      <c r="T13" s="35" t="s">
        <v>1166</v>
      </c>
      <c r="U13" s="35" t="s">
        <v>1162</v>
      </c>
      <c r="V13" s="35" t="s">
        <v>1163</v>
      </c>
      <c r="W13" s="35" t="s">
        <v>1164</v>
      </c>
      <c r="X13" s="35" t="s">
        <v>1161</v>
      </c>
      <c r="Y13" s="35" t="s">
        <v>1165</v>
      </c>
    </row>
    <row r="14" spans="1:25" ht="31.5" x14ac:dyDescent="0.25">
      <c r="A14" s="24">
        <v>7</v>
      </c>
      <c r="B14" s="32" t="s">
        <v>590</v>
      </c>
      <c r="C14" s="27" t="s">
        <v>1491</v>
      </c>
      <c r="D14" s="27" t="s">
        <v>1448</v>
      </c>
      <c r="E14" s="27" t="s">
        <v>758</v>
      </c>
      <c r="F14" s="27" t="s">
        <v>1169</v>
      </c>
      <c r="G14" s="98">
        <v>758935700</v>
      </c>
      <c r="H14" s="98">
        <v>75</v>
      </c>
      <c r="I14" s="35">
        <v>44827</v>
      </c>
      <c r="J14" s="22">
        <v>255</v>
      </c>
      <c r="K14" s="99" t="s">
        <v>547</v>
      </c>
      <c r="L14" s="100">
        <v>44833</v>
      </c>
      <c r="M14" s="35">
        <v>44832</v>
      </c>
      <c r="N14" s="35">
        <v>44830</v>
      </c>
      <c r="O14" s="100">
        <v>44827</v>
      </c>
      <c r="P14" s="100">
        <v>44831</v>
      </c>
      <c r="Q14" s="35">
        <v>44839</v>
      </c>
      <c r="R14" s="118"/>
      <c r="S14" s="113"/>
      <c r="T14" s="35"/>
      <c r="U14" s="35"/>
      <c r="V14" s="35"/>
      <c r="W14" s="35"/>
      <c r="X14" s="35"/>
      <c r="Y14" s="101"/>
    </row>
    <row r="15" spans="1:25" ht="31.5" x14ac:dyDescent="0.25">
      <c r="A15" s="24">
        <v>8</v>
      </c>
      <c r="B15" s="32" t="s">
        <v>1170</v>
      </c>
      <c r="C15" s="27" t="s">
        <v>1492</v>
      </c>
      <c r="D15" s="27" t="s">
        <v>1388</v>
      </c>
      <c r="E15" s="27" t="s">
        <v>716</v>
      </c>
      <c r="F15" s="27" t="s">
        <v>823</v>
      </c>
      <c r="G15" s="98">
        <v>3784768000</v>
      </c>
      <c r="H15" s="98">
        <v>118</v>
      </c>
      <c r="I15" s="35">
        <v>44837</v>
      </c>
      <c r="J15" s="22">
        <v>259</v>
      </c>
      <c r="K15" s="99" t="s">
        <v>668</v>
      </c>
      <c r="L15" s="35">
        <v>44845</v>
      </c>
      <c r="M15" s="35">
        <v>44844</v>
      </c>
      <c r="N15" s="35">
        <v>44844</v>
      </c>
      <c r="O15" s="35">
        <v>44845</v>
      </c>
      <c r="P15" s="35">
        <v>44844</v>
      </c>
      <c r="Q15" s="35">
        <v>44848</v>
      </c>
      <c r="R15" s="101">
        <v>44848</v>
      </c>
      <c r="S15" s="101">
        <v>44853</v>
      </c>
      <c r="T15" s="35" t="s">
        <v>1180</v>
      </c>
      <c r="U15" s="35" t="s">
        <v>1180</v>
      </c>
      <c r="V15" s="35" t="s">
        <v>1184</v>
      </c>
      <c r="W15" s="35" t="s">
        <v>1182</v>
      </c>
      <c r="X15" s="35" t="s">
        <v>1181</v>
      </c>
      <c r="Y15" s="35" t="s">
        <v>1181</v>
      </c>
    </row>
    <row r="16" spans="1:25" ht="31.5" x14ac:dyDescent="0.25">
      <c r="A16" s="24">
        <v>9</v>
      </c>
      <c r="B16" s="32" t="s">
        <v>1183</v>
      </c>
      <c r="C16" s="27" t="s">
        <v>1493</v>
      </c>
      <c r="D16" s="27" t="s">
        <v>1388</v>
      </c>
      <c r="E16" s="27" t="s">
        <v>1460</v>
      </c>
      <c r="F16" s="27" t="s">
        <v>1206</v>
      </c>
      <c r="G16" s="98">
        <v>2129895950</v>
      </c>
      <c r="H16" s="98">
        <v>267</v>
      </c>
      <c r="I16" s="35">
        <v>44856</v>
      </c>
      <c r="J16" s="22">
        <v>269</v>
      </c>
      <c r="K16" s="99" t="s">
        <v>1118</v>
      </c>
      <c r="L16" s="35">
        <v>44862</v>
      </c>
      <c r="M16" s="35">
        <v>44862</v>
      </c>
      <c r="N16" s="35">
        <v>44860</v>
      </c>
      <c r="O16" s="35">
        <v>44860</v>
      </c>
      <c r="P16" s="35">
        <v>44861</v>
      </c>
      <c r="Q16" s="35">
        <v>44862</v>
      </c>
      <c r="R16" s="101">
        <v>44865</v>
      </c>
      <c r="S16" s="101">
        <v>44868</v>
      </c>
      <c r="T16" s="35" t="s">
        <v>1200</v>
      </c>
      <c r="U16" s="35" t="s">
        <v>1198</v>
      </c>
      <c r="V16" s="35">
        <v>44868</v>
      </c>
      <c r="W16" s="35" t="s">
        <v>1197</v>
      </c>
      <c r="X16" s="35" t="s">
        <v>1199</v>
      </c>
      <c r="Y16" s="35" t="s">
        <v>1199</v>
      </c>
    </row>
    <row r="17" spans="1:25" ht="31.5" x14ac:dyDescent="0.25">
      <c r="A17" s="24">
        <v>10</v>
      </c>
      <c r="B17" s="32" t="s">
        <v>1196</v>
      </c>
      <c r="C17" s="27" t="s">
        <v>1494</v>
      </c>
      <c r="D17" s="27" t="s">
        <v>1388</v>
      </c>
      <c r="E17" s="27" t="s">
        <v>1216</v>
      </c>
      <c r="F17" s="27" t="s">
        <v>1217</v>
      </c>
      <c r="G17" s="98">
        <v>2596718000</v>
      </c>
      <c r="H17" s="98">
        <v>135</v>
      </c>
      <c r="I17" s="35">
        <v>44872</v>
      </c>
      <c r="J17" s="22">
        <v>269</v>
      </c>
      <c r="K17" s="99" t="s">
        <v>671</v>
      </c>
      <c r="L17" s="35">
        <v>44874</v>
      </c>
      <c r="M17" s="35">
        <v>44874</v>
      </c>
      <c r="N17" s="35">
        <v>44873</v>
      </c>
      <c r="O17" s="35">
        <v>44874</v>
      </c>
      <c r="P17" s="35">
        <v>44875</v>
      </c>
      <c r="Q17" s="35">
        <v>44879</v>
      </c>
      <c r="R17" s="101">
        <v>44880</v>
      </c>
      <c r="S17" s="101">
        <v>44886</v>
      </c>
      <c r="T17" s="35" t="s">
        <v>1211</v>
      </c>
      <c r="U17" s="35" t="s">
        <v>1212</v>
      </c>
      <c r="V17" s="35">
        <v>44888</v>
      </c>
      <c r="W17" s="35" t="s">
        <v>1213</v>
      </c>
      <c r="X17" s="35" t="s">
        <v>1212</v>
      </c>
      <c r="Y17" s="35" t="s">
        <v>1214</v>
      </c>
    </row>
    <row r="18" spans="1:25" ht="31.5" x14ac:dyDescent="0.25">
      <c r="A18" s="24">
        <v>11</v>
      </c>
      <c r="B18" s="32" t="s">
        <v>1204</v>
      </c>
      <c r="C18" s="27" t="s">
        <v>1495</v>
      </c>
      <c r="D18" s="27" t="s">
        <v>1388</v>
      </c>
      <c r="E18" s="27" t="s">
        <v>1216</v>
      </c>
      <c r="F18" s="27" t="s">
        <v>1235</v>
      </c>
      <c r="G18" s="98">
        <v>5511763448</v>
      </c>
      <c r="H18" s="98">
        <v>162</v>
      </c>
      <c r="I18" s="35">
        <v>44880</v>
      </c>
      <c r="J18" s="22">
        <v>222</v>
      </c>
      <c r="K18" s="99" t="s">
        <v>1203</v>
      </c>
      <c r="L18" s="35">
        <v>44881</v>
      </c>
      <c r="M18" s="35">
        <v>44882</v>
      </c>
      <c r="N18" s="35">
        <v>44881</v>
      </c>
      <c r="O18" s="35">
        <v>44882</v>
      </c>
      <c r="P18" s="35">
        <v>44881</v>
      </c>
      <c r="Q18" s="35">
        <v>44883</v>
      </c>
      <c r="R18" s="101">
        <v>44886</v>
      </c>
      <c r="S18" s="101">
        <v>44893</v>
      </c>
      <c r="T18" s="35" t="s">
        <v>1221</v>
      </c>
      <c r="U18" s="35" t="s">
        <v>1223</v>
      </c>
      <c r="V18" s="35" t="s">
        <v>1225</v>
      </c>
      <c r="W18" s="35" t="s">
        <v>1222</v>
      </c>
      <c r="X18" s="35" t="s">
        <v>1223</v>
      </c>
      <c r="Y18" s="35" t="s">
        <v>1224</v>
      </c>
    </row>
    <row r="19" spans="1:25" ht="31.5" x14ac:dyDescent="0.25">
      <c r="A19" s="24">
        <v>12</v>
      </c>
      <c r="B19" s="32" t="s">
        <v>853</v>
      </c>
      <c r="C19" s="27" t="s">
        <v>1493</v>
      </c>
      <c r="D19" s="27" t="s">
        <v>1388</v>
      </c>
      <c r="E19" s="27" t="s">
        <v>1247</v>
      </c>
      <c r="F19" s="27" t="s">
        <v>1246</v>
      </c>
      <c r="G19" s="98">
        <v>7681400195</v>
      </c>
      <c r="H19" s="98">
        <v>280</v>
      </c>
      <c r="I19" s="35">
        <v>44886</v>
      </c>
      <c r="J19" s="22">
        <v>281</v>
      </c>
      <c r="K19" s="99" t="s">
        <v>520</v>
      </c>
      <c r="L19" s="35">
        <v>44888</v>
      </c>
      <c r="M19" s="35">
        <v>44889</v>
      </c>
      <c r="N19" s="35">
        <v>44886</v>
      </c>
      <c r="O19" s="35">
        <v>44888</v>
      </c>
      <c r="P19" s="35">
        <v>44890</v>
      </c>
      <c r="Q19" s="35">
        <v>44895</v>
      </c>
      <c r="R19" s="101">
        <v>44895</v>
      </c>
      <c r="S19" s="101">
        <v>44902</v>
      </c>
      <c r="T19" s="35" t="s">
        <v>1229</v>
      </c>
      <c r="U19" s="35" t="s">
        <v>1226</v>
      </c>
      <c r="V19" s="35" t="s">
        <v>1230</v>
      </c>
      <c r="W19" s="35" t="s">
        <v>1232</v>
      </c>
      <c r="X19" s="35" t="s">
        <v>1233</v>
      </c>
      <c r="Y19" s="35" t="s">
        <v>1233</v>
      </c>
    </row>
    <row r="20" spans="1:25" ht="31.5" x14ac:dyDescent="0.25">
      <c r="A20" s="24">
        <v>13</v>
      </c>
      <c r="B20" s="23" t="s">
        <v>1449</v>
      </c>
      <c r="C20" s="27" t="s">
        <v>1496</v>
      </c>
      <c r="D20" s="27" t="s">
        <v>173</v>
      </c>
      <c r="E20" s="27" t="s">
        <v>1292</v>
      </c>
      <c r="F20" s="27" t="s">
        <v>1291</v>
      </c>
      <c r="G20" s="98">
        <v>1082543056</v>
      </c>
      <c r="H20" s="98">
        <v>59</v>
      </c>
      <c r="I20" s="35">
        <v>44893</v>
      </c>
      <c r="J20" s="22">
        <v>286</v>
      </c>
      <c r="K20" s="99" t="s">
        <v>1215</v>
      </c>
      <c r="L20" s="35" t="s">
        <v>1274</v>
      </c>
      <c r="M20" s="35" t="s">
        <v>1273</v>
      </c>
      <c r="N20" s="35" t="s">
        <v>1234</v>
      </c>
      <c r="O20" s="35" t="s">
        <v>1248</v>
      </c>
      <c r="P20" s="35" t="s">
        <v>1272</v>
      </c>
      <c r="Q20" s="35" t="s">
        <v>1270</v>
      </c>
      <c r="R20" s="101">
        <v>44902</v>
      </c>
      <c r="S20" s="101">
        <v>44909</v>
      </c>
      <c r="T20" s="35" t="s">
        <v>1249</v>
      </c>
      <c r="U20" s="35" t="s">
        <v>1253</v>
      </c>
      <c r="V20" s="35" t="s">
        <v>1256</v>
      </c>
      <c r="W20" s="35" t="s">
        <v>1254</v>
      </c>
      <c r="X20" s="35" t="s">
        <v>1245</v>
      </c>
      <c r="Y20" s="35" t="s">
        <v>1255</v>
      </c>
    </row>
    <row r="21" spans="1:25" ht="31.5" x14ac:dyDescent="0.25">
      <c r="A21" s="24">
        <v>14</v>
      </c>
      <c r="B21" s="32" t="s">
        <v>1220</v>
      </c>
      <c r="C21" s="27" t="s">
        <v>1496</v>
      </c>
      <c r="D21" s="27" t="s">
        <v>1450</v>
      </c>
      <c r="E21" s="27" t="s">
        <v>1295</v>
      </c>
      <c r="F21" s="27" t="s">
        <v>1296</v>
      </c>
      <c r="G21" s="98">
        <v>1812103439</v>
      </c>
      <c r="H21" s="98">
        <v>95</v>
      </c>
      <c r="I21" s="35">
        <v>44900</v>
      </c>
      <c r="J21" s="22">
        <v>294</v>
      </c>
      <c r="K21" s="99" t="s">
        <v>668</v>
      </c>
      <c r="L21" s="35" t="s">
        <v>1228</v>
      </c>
      <c r="M21" s="35" t="s">
        <v>1269</v>
      </c>
      <c r="N21" s="35" t="s">
        <v>1227</v>
      </c>
      <c r="O21" s="35" t="s">
        <v>1231</v>
      </c>
      <c r="P21" s="35" t="s">
        <v>1270</v>
      </c>
      <c r="Q21" s="35" t="s">
        <v>1271</v>
      </c>
      <c r="R21" s="101">
        <v>44909</v>
      </c>
      <c r="S21" s="101">
        <v>44910</v>
      </c>
      <c r="T21" s="35" t="s">
        <v>1250</v>
      </c>
      <c r="U21" s="35" t="s">
        <v>1262</v>
      </c>
      <c r="V21" s="35" t="s">
        <v>1252</v>
      </c>
      <c r="W21" s="35" t="s">
        <v>1251</v>
      </c>
      <c r="X21" s="35" t="s">
        <v>1263</v>
      </c>
      <c r="Y21" s="35" t="s">
        <v>1261</v>
      </c>
    </row>
    <row r="22" spans="1:25" ht="31.5" x14ac:dyDescent="0.25">
      <c r="A22" s="24">
        <v>15</v>
      </c>
      <c r="B22" s="32" t="s">
        <v>1240</v>
      </c>
      <c r="C22" s="35">
        <v>44936</v>
      </c>
      <c r="D22" s="24" t="s">
        <v>1389</v>
      </c>
      <c r="E22" s="27" t="s">
        <v>1135</v>
      </c>
      <c r="F22" s="27" t="s">
        <v>1294</v>
      </c>
      <c r="G22" s="98">
        <v>2757296296</v>
      </c>
      <c r="H22" s="98">
        <v>103</v>
      </c>
      <c r="I22" s="35">
        <v>44908</v>
      </c>
      <c r="J22" s="22">
        <v>299</v>
      </c>
      <c r="K22" s="99" t="s">
        <v>520</v>
      </c>
      <c r="L22" s="35" t="s">
        <v>1245</v>
      </c>
      <c r="M22" s="35" t="s">
        <v>1268</v>
      </c>
      <c r="N22" s="35" t="s">
        <v>1257</v>
      </c>
      <c r="O22" s="35" t="s">
        <v>1260</v>
      </c>
      <c r="P22" s="35" t="s">
        <v>1268</v>
      </c>
      <c r="Q22" s="35" t="s">
        <v>1275</v>
      </c>
      <c r="R22" s="101">
        <v>44918</v>
      </c>
      <c r="S22" s="101">
        <v>44922</v>
      </c>
      <c r="T22" s="35" t="s">
        <v>1276</v>
      </c>
      <c r="U22" s="35" t="s">
        <v>1277</v>
      </c>
      <c r="V22" s="35" t="s">
        <v>1280</v>
      </c>
      <c r="W22" s="35" t="s">
        <v>1280</v>
      </c>
      <c r="X22" s="35" t="s">
        <v>1278</v>
      </c>
      <c r="Y22" s="35" t="s">
        <v>1279</v>
      </c>
    </row>
    <row r="23" spans="1:25" ht="31.5" x14ac:dyDescent="0.25">
      <c r="A23" s="24">
        <v>16</v>
      </c>
      <c r="B23" s="32" t="s">
        <v>1242</v>
      </c>
      <c r="C23" s="27" t="s">
        <v>1497</v>
      </c>
      <c r="D23" s="27" t="s">
        <v>1388</v>
      </c>
      <c r="E23" s="27" t="s">
        <v>791</v>
      </c>
      <c r="F23" s="27" t="s">
        <v>1293</v>
      </c>
      <c r="G23" s="98">
        <v>9058222630</v>
      </c>
      <c r="H23" s="98">
        <v>338</v>
      </c>
      <c r="I23" s="35">
        <v>44909</v>
      </c>
      <c r="J23" s="22">
        <v>295</v>
      </c>
      <c r="K23" s="99" t="s">
        <v>1118</v>
      </c>
      <c r="L23" s="35" t="s">
        <v>1266</v>
      </c>
      <c r="M23" s="35" t="s">
        <v>1266</v>
      </c>
      <c r="N23" s="35" t="s">
        <v>1258</v>
      </c>
      <c r="O23" s="35" t="s">
        <v>1259</v>
      </c>
      <c r="P23" s="35" t="s">
        <v>1266</v>
      </c>
      <c r="Q23" s="35" t="s">
        <v>1267</v>
      </c>
      <c r="R23" s="101">
        <v>44921</v>
      </c>
      <c r="S23" s="101">
        <v>44936</v>
      </c>
      <c r="T23" s="35"/>
      <c r="U23" s="35"/>
      <c r="V23" s="35"/>
      <c r="W23" s="35"/>
      <c r="X23" s="35"/>
      <c r="Y23" s="35"/>
    </row>
    <row r="24" spans="1:25" ht="31.5" x14ac:dyDescent="0.25">
      <c r="A24" s="24">
        <v>17</v>
      </c>
      <c r="B24" s="32" t="s">
        <v>1281</v>
      </c>
      <c r="C24" s="29">
        <v>44957</v>
      </c>
      <c r="D24" s="27" t="s">
        <v>1428</v>
      </c>
      <c r="E24" s="27" t="s">
        <v>702</v>
      </c>
      <c r="F24" s="27" t="s">
        <v>684</v>
      </c>
      <c r="G24" s="98">
        <v>4285521044</v>
      </c>
      <c r="H24" s="98">
        <v>90</v>
      </c>
      <c r="I24" s="35">
        <v>44930</v>
      </c>
      <c r="J24" s="22">
        <v>307</v>
      </c>
      <c r="K24" s="99" t="s">
        <v>1203</v>
      </c>
      <c r="L24" s="35" t="s">
        <v>1283</v>
      </c>
      <c r="M24" s="35" t="s">
        <v>1283</v>
      </c>
      <c r="N24" s="35" t="s">
        <v>1286</v>
      </c>
      <c r="O24" s="35" t="s">
        <v>1284</v>
      </c>
      <c r="P24" s="35" t="s">
        <v>1285</v>
      </c>
      <c r="Q24" s="35" t="s">
        <v>1298</v>
      </c>
      <c r="R24" s="101">
        <v>44942</v>
      </c>
      <c r="S24" s="101">
        <v>44949</v>
      </c>
      <c r="T24" s="35" t="s">
        <v>1305</v>
      </c>
      <c r="U24" s="35" t="s">
        <v>1307</v>
      </c>
      <c r="V24" s="35" t="s">
        <v>1306</v>
      </c>
      <c r="W24" s="35" t="s">
        <v>1306</v>
      </c>
      <c r="X24" s="35" t="s">
        <v>1308</v>
      </c>
      <c r="Y24" s="35" t="s">
        <v>1309</v>
      </c>
    </row>
    <row r="25" spans="1:25" ht="31.5" x14ac:dyDescent="0.25">
      <c r="A25" s="24">
        <v>18</v>
      </c>
      <c r="B25" s="32" t="s">
        <v>1311</v>
      </c>
      <c r="C25" s="27" t="s">
        <v>1498</v>
      </c>
      <c r="D25" s="27" t="s">
        <v>1451</v>
      </c>
      <c r="E25" s="27" t="s">
        <v>1330</v>
      </c>
      <c r="F25" s="27" t="s">
        <v>1144</v>
      </c>
      <c r="G25" s="98">
        <v>2625205130</v>
      </c>
      <c r="H25" s="98">
        <v>136</v>
      </c>
      <c r="I25" s="35">
        <v>44943</v>
      </c>
      <c r="J25" s="22">
        <v>303</v>
      </c>
      <c r="K25" s="99" t="s">
        <v>1157</v>
      </c>
      <c r="L25" s="35" t="s">
        <v>1299</v>
      </c>
      <c r="M25" s="35" t="s">
        <v>1302</v>
      </c>
      <c r="N25" s="35" t="s">
        <v>1301</v>
      </c>
      <c r="O25" s="35" t="s">
        <v>1303</v>
      </c>
      <c r="P25" s="35" t="s">
        <v>1300</v>
      </c>
      <c r="Q25" s="35" t="s">
        <v>1304</v>
      </c>
      <c r="R25" s="101">
        <v>44953</v>
      </c>
      <c r="S25" s="101">
        <v>44595</v>
      </c>
      <c r="T25" s="35" t="s">
        <v>1314</v>
      </c>
      <c r="U25" s="35" t="s">
        <v>1315</v>
      </c>
      <c r="V25" s="35" t="s">
        <v>1316</v>
      </c>
      <c r="W25" s="35" t="s">
        <v>1317</v>
      </c>
      <c r="X25" s="35" t="s">
        <v>1315</v>
      </c>
      <c r="Y25" s="117"/>
    </row>
    <row r="26" spans="1:25" ht="31.5" x14ac:dyDescent="0.25">
      <c r="A26" s="24">
        <v>19</v>
      </c>
      <c r="B26" s="32" t="s">
        <v>1332</v>
      </c>
      <c r="C26" s="27" t="s">
        <v>1499</v>
      </c>
      <c r="D26" s="27" t="s">
        <v>1388</v>
      </c>
      <c r="E26" s="27" t="s">
        <v>791</v>
      </c>
      <c r="F26" s="27" t="s">
        <v>1293</v>
      </c>
      <c r="G26" s="98">
        <v>9058222630</v>
      </c>
      <c r="H26" s="98">
        <v>338</v>
      </c>
      <c r="I26" s="35">
        <v>44974</v>
      </c>
      <c r="J26" s="22">
        <v>340</v>
      </c>
      <c r="K26" s="99" t="s">
        <v>1297</v>
      </c>
      <c r="L26" s="35" t="s">
        <v>1348</v>
      </c>
      <c r="M26" s="35" t="s">
        <v>1339</v>
      </c>
      <c r="N26" s="35" t="s">
        <v>1349</v>
      </c>
      <c r="O26" s="35" t="s">
        <v>1341</v>
      </c>
      <c r="P26" s="35" t="s">
        <v>1340</v>
      </c>
      <c r="Q26" s="35" t="s">
        <v>1347</v>
      </c>
      <c r="R26" s="101">
        <v>44981</v>
      </c>
      <c r="S26" s="101">
        <v>44985</v>
      </c>
      <c r="T26" s="35"/>
      <c r="U26" s="35"/>
      <c r="V26" s="35"/>
      <c r="W26" s="35"/>
      <c r="X26" s="35"/>
      <c r="Y26" s="35"/>
    </row>
    <row r="27" spans="1:25" ht="31.5" x14ac:dyDescent="0.25">
      <c r="A27" s="24">
        <v>20</v>
      </c>
      <c r="B27" s="32" t="s">
        <v>1343</v>
      </c>
      <c r="C27" s="27" t="s">
        <v>1500</v>
      </c>
      <c r="D27" s="27" t="s">
        <v>1388</v>
      </c>
      <c r="E27" s="27" t="s">
        <v>791</v>
      </c>
      <c r="F27" s="27" t="s">
        <v>972</v>
      </c>
      <c r="G27" s="25">
        <v>6705420003.5200005</v>
      </c>
      <c r="H27" s="84">
        <v>319</v>
      </c>
      <c r="I27" s="35">
        <v>44980</v>
      </c>
      <c r="J27" s="22">
        <v>330</v>
      </c>
      <c r="K27" s="99" t="s">
        <v>1342</v>
      </c>
      <c r="L27" s="35" t="s">
        <v>1375</v>
      </c>
      <c r="M27" s="35" t="s">
        <v>1376</v>
      </c>
      <c r="N27" s="35" t="s">
        <v>1377</v>
      </c>
      <c r="O27" s="35"/>
      <c r="P27" s="35" t="s">
        <v>1378</v>
      </c>
      <c r="Q27" s="35" t="s">
        <v>1384</v>
      </c>
      <c r="R27" s="101">
        <v>44991</v>
      </c>
      <c r="S27" s="101">
        <v>44998</v>
      </c>
      <c r="T27" s="35" t="s">
        <v>1379</v>
      </c>
      <c r="U27" s="35" t="s">
        <v>1380</v>
      </c>
      <c r="V27" s="35" t="s">
        <v>1383</v>
      </c>
      <c r="W27" s="35" t="s">
        <v>1381</v>
      </c>
      <c r="X27" s="35" t="s">
        <v>1382</v>
      </c>
      <c r="Y27" s="35" t="s">
        <v>1382</v>
      </c>
    </row>
    <row r="28" spans="1:25" ht="31.5" x14ac:dyDescent="0.25">
      <c r="A28" s="24">
        <v>21</v>
      </c>
      <c r="B28" s="32" t="s">
        <v>1335</v>
      </c>
      <c r="C28" s="27" t="s">
        <v>1501</v>
      </c>
      <c r="D28" s="27" t="s">
        <v>1388</v>
      </c>
      <c r="E28" s="27" t="s">
        <v>686</v>
      </c>
      <c r="F28" s="27" t="s">
        <v>1403</v>
      </c>
      <c r="G28" s="25">
        <v>12416737533</v>
      </c>
      <c r="H28" s="84">
        <v>526</v>
      </c>
      <c r="I28" s="35">
        <v>44988</v>
      </c>
      <c r="J28" s="22">
        <v>343</v>
      </c>
      <c r="K28" s="99" t="s">
        <v>1210</v>
      </c>
      <c r="L28" s="35" t="s">
        <v>1354</v>
      </c>
      <c r="M28" s="35" t="s">
        <v>1355</v>
      </c>
      <c r="N28" s="35" t="s">
        <v>1357</v>
      </c>
      <c r="O28" s="35" t="s">
        <v>1356</v>
      </c>
      <c r="P28" s="35" t="s">
        <v>1362</v>
      </c>
      <c r="Q28" s="35" t="s">
        <v>1363</v>
      </c>
      <c r="R28" s="101">
        <v>45000</v>
      </c>
      <c r="S28" s="101">
        <v>45002</v>
      </c>
      <c r="T28" s="35" t="s">
        <v>1373</v>
      </c>
      <c r="U28" s="35" t="s">
        <v>1368</v>
      </c>
      <c r="V28" s="35" t="s">
        <v>1367</v>
      </c>
      <c r="W28" s="35" t="s">
        <v>1370</v>
      </c>
      <c r="X28" s="35" t="s">
        <v>1372</v>
      </c>
      <c r="Y28" s="35" t="s">
        <v>1371</v>
      </c>
    </row>
    <row r="29" spans="1:25" ht="31.5" x14ac:dyDescent="0.25">
      <c r="A29" s="24">
        <v>22</v>
      </c>
      <c r="B29" s="32" t="s">
        <v>1346</v>
      </c>
      <c r="C29" s="27" t="s">
        <v>1502</v>
      </c>
      <c r="D29" s="27" t="s">
        <v>1388</v>
      </c>
      <c r="E29" s="27" t="s">
        <v>791</v>
      </c>
      <c r="F29" s="27" t="s">
        <v>1407</v>
      </c>
      <c r="G29" s="25">
        <v>6608817195</v>
      </c>
      <c r="H29" s="84">
        <v>278</v>
      </c>
      <c r="I29" s="35">
        <v>44995</v>
      </c>
      <c r="J29" s="22">
        <v>353</v>
      </c>
      <c r="K29" s="99" t="s">
        <v>1297</v>
      </c>
      <c r="L29" s="35" t="s">
        <v>1364</v>
      </c>
      <c r="M29" s="35" t="s">
        <v>1365</v>
      </c>
      <c r="N29" s="35" t="s">
        <v>1359</v>
      </c>
      <c r="O29" s="35" t="s">
        <v>1359</v>
      </c>
      <c r="P29" s="35" t="s">
        <v>1365</v>
      </c>
      <c r="Q29" s="35" t="s">
        <v>1366</v>
      </c>
      <c r="R29" s="101">
        <v>45009</v>
      </c>
      <c r="S29" s="101">
        <v>45016</v>
      </c>
      <c r="T29" s="35" t="s">
        <v>1393</v>
      </c>
      <c r="U29" s="35" t="s">
        <v>1397</v>
      </c>
      <c r="V29" s="35" t="s">
        <v>1396</v>
      </c>
      <c r="W29" s="35" t="s">
        <v>1395</v>
      </c>
      <c r="X29" s="35" t="s">
        <v>1394</v>
      </c>
      <c r="Y29" s="35" t="s">
        <v>1399</v>
      </c>
    </row>
    <row r="30" spans="1:25" ht="31.5" x14ac:dyDescent="0.25">
      <c r="A30" s="24">
        <v>23</v>
      </c>
      <c r="B30" s="32" t="s">
        <v>1369</v>
      </c>
      <c r="C30" s="27" t="s">
        <v>1503</v>
      </c>
      <c r="D30" s="27" t="s">
        <v>1448</v>
      </c>
      <c r="E30" s="27" t="s">
        <v>1413</v>
      </c>
      <c r="F30" s="27" t="s">
        <v>1412</v>
      </c>
      <c r="G30" s="25">
        <v>2953550085</v>
      </c>
      <c r="H30" s="84">
        <v>210</v>
      </c>
      <c r="I30" s="35">
        <v>45013</v>
      </c>
      <c r="J30" s="22">
        <v>357</v>
      </c>
      <c r="K30" s="99" t="s">
        <v>1215</v>
      </c>
      <c r="L30" s="35" t="s">
        <v>1392</v>
      </c>
      <c r="M30" s="35" t="s">
        <v>1386</v>
      </c>
      <c r="N30" s="35" t="s">
        <v>1387</v>
      </c>
      <c r="O30" s="35" t="s">
        <v>1391</v>
      </c>
      <c r="P30" s="35" t="s">
        <v>1392</v>
      </c>
      <c r="Q30" s="35">
        <v>45021</v>
      </c>
      <c r="R30" s="101">
        <v>45021</v>
      </c>
      <c r="S30" s="101">
        <v>45028</v>
      </c>
      <c r="T30" s="35"/>
      <c r="U30" s="35"/>
      <c r="V30" s="35"/>
      <c r="W30" s="35"/>
      <c r="X30" s="35"/>
      <c r="Y30" s="35"/>
    </row>
    <row r="31" spans="1:25" ht="31.5" x14ac:dyDescent="0.25">
      <c r="A31" s="24">
        <v>24</v>
      </c>
      <c r="B31" s="32" t="s">
        <v>1326</v>
      </c>
      <c r="C31" s="27" t="s">
        <v>1504</v>
      </c>
      <c r="D31" s="27" t="s">
        <v>1461</v>
      </c>
      <c r="E31" s="27" t="s">
        <v>1422</v>
      </c>
      <c r="F31" s="27" t="s">
        <v>1423</v>
      </c>
      <c r="G31" s="25">
        <v>5609699023</v>
      </c>
      <c r="H31" s="84">
        <v>197</v>
      </c>
      <c r="I31" s="35">
        <v>45019</v>
      </c>
      <c r="J31" s="22">
        <v>339</v>
      </c>
      <c r="K31" s="99" t="s">
        <v>1327</v>
      </c>
      <c r="L31" s="35" t="s">
        <v>1405</v>
      </c>
      <c r="M31" s="35" t="s">
        <v>1404</v>
      </c>
      <c r="N31" s="35" t="s">
        <v>1398</v>
      </c>
      <c r="O31" s="35">
        <v>45021</v>
      </c>
      <c r="P31" s="35" t="s">
        <v>1405</v>
      </c>
      <c r="Q31" s="35" t="s">
        <v>1406</v>
      </c>
      <c r="R31" s="101">
        <v>45029</v>
      </c>
      <c r="S31" s="101">
        <v>45036</v>
      </c>
      <c r="T31" s="35">
        <v>45040</v>
      </c>
      <c r="U31" s="35" t="s">
        <v>1414</v>
      </c>
      <c r="V31" s="35" t="s">
        <v>1416</v>
      </c>
      <c r="W31" s="35" t="s">
        <v>1411</v>
      </c>
      <c r="X31" s="35" t="s">
        <v>1415</v>
      </c>
      <c r="Y31" s="35" t="s">
        <v>1410</v>
      </c>
    </row>
    <row r="32" spans="1:25" ht="31.5" x14ac:dyDescent="0.25">
      <c r="A32" s="24">
        <v>25</v>
      </c>
      <c r="B32" s="32" t="s">
        <v>1418</v>
      </c>
      <c r="C32" s="27" t="s">
        <v>1505</v>
      </c>
      <c r="D32" s="27" t="s">
        <v>1388</v>
      </c>
      <c r="E32" s="27" t="s">
        <v>1443</v>
      </c>
      <c r="F32" s="27" t="s">
        <v>1442</v>
      </c>
      <c r="G32" s="98">
        <v>7929463000</v>
      </c>
      <c r="H32" s="98">
        <v>301</v>
      </c>
      <c r="I32" s="35">
        <v>45069</v>
      </c>
      <c r="J32" s="24">
        <v>365</v>
      </c>
      <c r="K32" s="99" t="s">
        <v>1203</v>
      </c>
      <c r="L32" s="35" t="s">
        <v>1424</v>
      </c>
      <c r="M32" s="35" t="s">
        <v>1424</v>
      </c>
      <c r="N32" s="35" t="s">
        <v>1425</v>
      </c>
      <c r="O32" s="35" t="s">
        <v>1426</v>
      </c>
      <c r="P32" s="35" t="s">
        <v>1427</v>
      </c>
      <c r="Q32" s="35" t="s">
        <v>1430</v>
      </c>
      <c r="R32" s="101">
        <v>45062</v>
      </c>
      <c r="S32" s="101">
        <v>45069</v>
      </c>
      <c r="T32" s="35" t="s">
        <v>1435</v>
      </c>
      <c r="U32" s="35" t="s">
        <v>1432</v>
      </c>
      <c r="V32" s="35" t="s">
        <v>1434</v>
      </c>
      <c r="W32" s="35" t="s">
        <v>1433</v>
      </c>
      <c r="X32" s="35" t="s">
        <v>1436</v>
      </c>
      <c r="Y32" s="35" t="s">
        <v>1437</v>
      </c>
    </row>
    <row r="33" spans="1:25" ht="31.5" x14ac:dyDescent="0.25">
      <c r="A33" s="24">
        <v>26</v>
      </c>
      <c r="B33" s="32" t="s">
        <v>1440</v>
      </c>
      <c r="C33" s="29">
        <v>45134</v>
      </c>
      <c r="D33" s="27" t="s">
        <v>760</v>
      </c>
      <c r="E33" s="27" t="s">
        <v>1456</v>
      </c>
      <c r="F33" s="27" t="s">
        <v>1457</v>
      </c>
      <c r="G33" s="98">
        <v>2504748497</v>
      </c>
      <c r="H33" s="98">
        <v>63</v>
      </c>
      <c r="I33" s="35">
        <v>45097</v>
      </c>
      <c r="J33" s="24">
        <v>397</v>
      </c>
      <c r="K33" s="99" t="s">
        <v>1485</v>
      </c>
      <c r="L33" s="35" t="s">
        <v>1512</v>
      </c>
      <c r="M33" s="35" t="s">
        <v>1516</v>
      </c>
      <c r="N33" s="35" t="s">
        <v>1518</v>
      </c>
      <c r="O33" s="35" t="s">
        <v>1511</v>
      </c>
      <c r="P33" s="35" t="s">
        <v>1517</v>
      </c>
      <c r="Q33" s="35" t="s">
        <v>1522</v>
      </c>
      <c r="R33" s="101">
        <v>45110</v>
      </c>
      <c r="S33" s="101">
        <v>45119</v>
      </c>
      <c r="T33" s="35" t="s">
        <v>1534</v>
      </c>
      <c r="U33" s="35" t="s">
        <v>1533</v>
      </c>
      <c r="V33" s="35" t="s">
        <v>1535</v>
      </c>
      <c r="W33" s="35" t="s">
        <v>1532</v>
      </c>
      <c r="X33" s="35" t="s">
        <v>1536</v>
      </c>
      <c r="Y33" s="35" t="s">
        <v>1543</v>
      </c>
    </row>
    <row r="34" spans="1:25" ht="47.25" x14ac:dyDescent="0.25">
      <c r="A34" s="24">
        <v>27</v>
      </c>
      <c r="B34" s="32" t="s">
        <v>1441</v>
      </c>
      <c r="C34" s="29">
        <v>45134</v>
      </c>
      <c r="D34" s="27" t="s">
        <v>1486</v>
      </c>
      <c r="E34" s="27" t="s">
        <v>1458</v>
      </c>
      <c r="F34" s="27" t="s">
        <v>1459</v>
      </c>
      <c r="G34" s="98">
        <v>711510837</v>
      </c>
      <c r="H34" s="98">
        <v>48</v>
      </c>
      <c r="I34" s="35">
        <v>45098</v>
      </c>
      <c r="J34" s="24">
        <v>398</v>
      </c>
      <c r="K34" s="99" t="s">
        <v>1203</v>
      </c>
      <c r="L34" s="35" t="s">
        <v>1521</v>
      </c>
      <c r="M34" s="35" t="s">
        <v>1519</v>
      </c>
      <c r="N34" s="35">
        <v>45099</v>
      </c>
      <c r="O34" s="35" t="s">
        <v>1520</v>
      </c>
      <c r="P34" s="35" t="s">
        <v>1519</v>
      </c>
      <c r="Q34" s="35" t="s">
        <v>1522</v>
      </c>
      <c r="R34" s="101">
        <v>45110</v>
      </c>
      <c r="S34" s="101">
        <v>45118</v>
      </c>
      <c r="T34" s="35" t="s">
        <v>1541</v>
      </c>
      <c r="U34" s="35" t="s">
        <v>1539</v>
      </c>
      <c r="V34" s="35" t="s">
        <v>1535</v>
      </c>
      <c r="W34" s="35" t="s">
        <v>1540</v>
      </c>
      <c r="X34" s="35" t="s">
        <v>1529</v>
      </c>
      <c r="Y34" s="35" t="s">
        <v>1538</v>
      </c>
    </row>
    <row r="35" spans="1:25" ht="41.25" customHeight="1" x14ac:dyDescent="0.25">
      <c r="A35" s="24" t="s">
        <v>28</v>
      </c>
      <c r="B35" s="32" t="s">
        <v>1594</v>
      </c>
      <c r="C35" s="29">
        <v>45209</v>
      </c>
      <c r="D35" s="27" t="s">
        <v>1325</v>
      </c>
      <c r="E35" s="27" t="s">
        <v>791</v>
      </c>
      <c r="F35" s="27" t="s">
        <v>1402</v>
      </c>
      <c r="G35" s="98">
        <v>2655642045</v>
      </c>
      <c r="H35" s="98"/>
      <c r="I35" s="35">
        <v>45180</v>
      </c>
      <c r="J35" s="24"/>
      <c r="K35" s="99" t="s">
        <v>1297</v>
      </c>
      <c r="L35" s="35" t="s">
        <v>1595</v>
      </c>
      <c r="M35" s="35" t="s">
        <v>1577</v>
      </c>
      <c r="N35" s="35" t="s">
        <v>1573</v>
      </c>
      <c r="O35" s="35"/>
      <c r="P35" s="35" t="s">
        <v>1576</v>
      </c>
      <c r="Q35" s="35" t="s">
        <v>1575</v>
      </c>
      <c r="R35" s="101">
        <v>45187</v>
      </c>
      <c r="S35" s="101">
        <v>45191</v>
      </c>
      <c r="T35" s="35" t="s">
        <v>1591</v>
      </c>
      <c r="U35" s="35" t="s">
        <v>1585</v>
      </c>
      <c r="V35" s="35" t="s">
        <v>1584</v>
      </c>
      <c r="W35" s="35"/>
      <c r="X35" s="35" t="s">
        <v>1586</v>
      </c>
      <c r="Y35" s="35">
        <v>45201</v>
      </c>
    </row>
    <row r="36" spans="1:25" ht="34.5" customHeight="1" x14ac:dyDescent="0.25">
      <c r="A36" s="24">
        <v>28</v>
      </c>
      <c r="B36" s="32" t="s">
        <v>1657</v>
      </c>
      <c r="C36" s="29">
        <v>45300</v>
      </c>
      <c r="D36" s="27" t="s">
        <v>174</v>
      </c>
      <c r="E36" s="27" t="s">
        <v>702</v>
      </c>
      <c r="F36" s="27" t="s">
        <v>1666</v>
      </c>
      <c r="G36" s="98">
        <v>2754891000</v>
      </c>
      <c r="H36" s="27">
        <v>45</v>
      </c>
      <c r="I36" s="35">
        <v>45264</v>
      </c>
      <c r="J36" s="24">
        <v>460</v>
      </c>
      <c r="K36" s="99" t="s">
        <v>1215</v>
      </c>
      <c r="L36" s="117" t="s">
        <v>1698</v>
      </c>
      <c r="M36" s="117" t="s">
        <v>1699</v>
      </c>
      <c r="N36" s="117" t="s">
        <v>1700</v>
      </c>
      <c r="O36" s="117" t="s">
        <v>1701</v>
      </c>
      <c r="P36" s="117" t="s">
        <v>1702</v>
      </c>
      <c r="Q36" s="117" t="s">
        <v>1703</v>
      </c>
      <c r="R36" s="149">
        <v>45274</v>
      </c>
      <c r="S36" s="149">
        <v>45282</v>
      </c>
      <c r="T36" s="117" t="s">
        <v>1704</v>
      </c>
      <c r="U36" s="117" t="s">
        <v>1705</v>
      </c>
      <c r="V36" s="117" t="s">
        <v>1706</v>
      </c>
      <c r="W36" s="117" t="s">
        <v>1707</v>
      </c>
      <c r="X36" s="117" t="s">
        <v>1708</v>
      </c>
      <c r="Y36" s="117" t="s">
        <v>1709</v>
      </c>
    </row>
    <row r="37" spans="1:25" ht="20.25" x14ac:dyDescent="0.25">
      <c r="A37" s="37"/>
      <c r="B37" s="37" t="s">
        <v>54</v>
      </c>
      <c r="C37" s="37"/>
      <c r="D37" s="37"/>
      <c r="E37" s="37"/>
      <c r="F37" s="37"/>
      <c r="G37" s="38">
        <f>SUM(G13:G36)</f>
        <v>104752010436.52</v>
      </c>
      <c r="H37" s="38">
        <f>SUM(H13:H36)</f>
        <v>4258</v>
      </c>
      <c r="I37" s="39"/>
      <c r="J37" s="37"/>
      <c r="K37" s="39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s="120" customFormat="1" ht="20.25" x14ac:dyDescent="0.25">
      <c r="A38" s="125"/>
      <c r="B38" s="125"/>
      <c r="C38" s="125"/>
      <c r="D38" s="125"/>
      <c r="E38" s="125"/>
      <c r="F38" s="126"/>
      <c r="G38" s="126"/>
      <c r="H38" s="127"/>
      <c r="I38" s="125"/>
      <c r="J38" s="127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</row>
    <row r="39" spans="1:25" ht="41.25" customHeight="1" x14ac:dyDescent="0.25">
      <c r="C39" s="68" t="s">
        <v>159</v>
      </c>
      <c r="D39" s="68" t="s">
        <v>1462</v>
      </c>
      <c r="F39" s="68" t="s">
        <v>178</v>
      </c>
    </row>
    <row r="40" spans="1:25" ht="41.25" customHeight="1" x14ac:dyDescent="0.25">
      <c r="A40" s="663" t="s">
        <v>1489</v>
      </c>
      <c r="B40" s="663"/>
      <c r="C40" s="69">
        <v>28</v>
      </c>
      <c r="D40" s="69">
        <f>G37+G10</f>
        <v>130559542932.52</v>
      </c>
      <c r="F40" s="69">
        <f>H37+I10</f>
        <v>5482</v>
      </c>
      <c r="J40" s="120"/>
    </row>
    <row r="41" spans="1:25" ht="24" customHeight="1" x14ac:dyDescent="0.25">
      <c r="J41" s="120"/>
    </row>
    <row r="42" spans="1:25" ht="25.5" x14ac:dyDescent="0.25">
      <c r="B42" s="20" t="s">
        <v>182</v>
      </c>
      <c r="C42" s="20"/>
      <c r="D42" s="20"/>
      <c r="J42" s="120"/>
    </row>
    <row r="43" spans="1:25" ht="31.5" x14ac:dyDescent="0.25">
      <c r="A43" s="21" t="s">
        <v>0</v>
      </c>
      <c r="B43" s="21" t="s">
        <v>24</v>
      </c>
      <c r="C43" s="21" t="s">
        <v>751</v>
      </c>
      <c r="D43" s="21" t="s">
        <v>752</v>
      </c>
      <c r="E43" s="21" t="s">
        <v>749</v>
      </c>
      <c r="F43" s="21" t="s">
        <v>748</v>
      </c>
      <c r="G43" s="21" t="s">
        <v>26</v>
      </c>
      <c r="H43" s="21" t="s">
        <v>177</v>
      </c>
      <c r="I43" s="21" t="s">
        <v>178</v>
      </c>
      <c r="J43" s="121"/>
      <c r="S43" s="74" t="s">
        <v>34</v>
      </c>
      <c r="T43" s="74"/>
      <c r="U43" s="74"/>
      <c r="V43" s="74"/>
      <c r="W43" s="74"/>
      <c r="X43" s="74"/>
      <c r="Y43" s="74"/>
    </row>
    <row r="44" spans="1:25" ht="47.25" x14ac:dyDescent="0.25">
      <c r="A44" s="54">
        <v>1</v>
      </c>
      <c r="B44" s="32" t="s">
        <v>997</v>
      </c>
      <c r="C44" s="35">
        <v>43903</v>
      </c>
      <c r="D44" s="24" t="s">
        <v>23</v>
      </c>
      <c r="E44" s="24" t="s">
        <v>1004</v>
      </c>
      <c r="F44" s="24" t="s">
        <v>1001</v>
      </c>
      <c r="G44" s="25">
        <v>673138280</v>
      </c>
      <c r="H44" s="33">
        <v>5443.1</v>
      </c>
      <c r="I44" s="25">
        <v>72</v>
      </c>
      <c r="J44" s="123"/>
      <c r="S44" s="49"/>
      <c r="T44" s="49"/>
      <c r="U44" s="49"/>
      <c r="V44" s="46"/>
      <c r="W44" s="48"/>
      <c r="X44" s="48"/>
      <c r="Y44" s="48"/>
    </row>
    <row r="45" spans="1:25" ht="31.5" x14ac:dyDescent="0.25">
      <c r="A45" s="24">
        <v>2</v>
      </c>
      <c r="B45" s="32" t="s">
        <v>998</v>
      </c>
      <c r="C45" s="35">
        <v>44060</v>
      </c>
      <c r="D45" s="24" t="s">
        <v>1179</v>
      </c>
      <c r="E45" s="24" t="s">
        <v>1005</v>
      </c>
      <c r="F45" s="24" t="s">
        <v>996</v>
      </c>
      <c r="G45" s="25">
        <v>6217205830</v>
      </c>
      <c r="H45" s="33">
        <v>26499.13</v>
      </c>
      <c r="I45" s="25">
        <v>236</v>
      </c>
      <c r="J45" s="123"/>
      <c r="S45" s="49"/>
      <c r="T45" s="49"/>
      <c r="U45" s="49"/>
      <c r="V45" s="46"/>
      <c r="W45" s="48"/>
      <c r="X45" s="48"/>
      <c r="Y45" s="48"/>
    </row>
    <row r="46" spans="1:25" ht="36.75" customHeight="1" x14ac:dyDescent="0.25">
      <c r="A46" s="22">
        <v>3</v>
      </c>
      <c r="B46" s="32" t="s">
        <v>999</v>
      </c>
      <c r="C46" s="35">
        <v>44260</v>
      </c>
      <c r="D46" s="24" t="s">
        <v>1179</v>
      </c>
      <c r="E46" s="24" t="s">
        <v>734</v>
      </c>
      <c r="F46" s="24" t="s">
        <v>1002</v>
      </c>
      <c r="G46" s="25">
        <v>9447781555</v>
      </c>
      <c r="H46" s="33">
        <v>42948.1</v>
      </c>
      <c r="I46" s="25">
        <v>319</v>
      </c>
      <c r="J46" s="123"/>
      <c r="S46" s="49"/>
      <c r="T46" s="49"/>
      <c r="U46" s="49"/>
      <c r="V46" s="46"/>
      <c r="W46" s="59"/>
      <c r="X46" s="77"/>
      <c r="Y46" s="77"/>
    </row>
    <row r="47" spans="1:25" ht="31.5" x14ac:dyDescent="0.25">
      <c r="A47" s="22">
        <v>4</v>
      </c>
      <c r="B47" s="32" t="s">
        <v>1000</v>
      </c>
      <c r="C47" s="35">
        <v>44260</v>
      </c>
      <c r="D47" s="24" t="s">
        <v>1179</v>
      </c>
      <c r="E47" s="24" t="s">
        <v>734</v>
      </c>
      <c r="F47" s="24" t="s">
        <v>1003</v>
      </c>
      <c r="G47" s="25">
        <v>3387069648</v>
      </c>
      <c r="H47" s="26">
        <v>14673.44</v>
      </c>
      <c r="I47" s="25">
        <v>169</v>
      </c>
      <c r="J47" s="123"/>
      <c r="S47" s="49"/>
      <c r="T47" s="49"/>
      <c r="U47" s="49"/>
      <c r="V47" s="46"/>
      <c r="W47" s="59"/>
      <c r="X47" s="77"/>
      <c r="Y47" s="77"/>
    </row>
    <row r="48" spans="1:25" ht="31.5" x14ac:dyDescent="0.25">
      <c r="A48" s="22">
        <v>5</v>
      </c>
      <c r="B48" s="32" t="s">
        <v>1465</v>
      </c>
      <c r="C48" s="35">
        <v>44873</v>
      </c>
      <c r="D48" s="24" t="s">
        <v>760</v>
      </c>
      <c r="E48" s="24" t="s">
        <v>1171</v>
      </c>
      <c r="F48" s="24" t="s">
        <v>1172</v>
      </c>
      <c r="G48" s="25">
        <v>2844036000</v>
      </c>
      <c r="H48" s="26">
        <v>9241.6299999999992</v>
      </c>
      <c r="I48" s="25">
        <v>92</v>
      </c>
      <c r="J48" s="123"/>
      <c r="S48" s="49"/>
      <c r="T48" s="49"/>
      <c r="U48" s="49"/>
      <c r="V48" s="46"/>
      <c r="W48" s="59"/>
      <c r="X48" s="77"/>
      <c r="Y48" s="77"/>
    </row>
    <row r="49" spans="1:25" ht="47.25" x14ac:dyDescent="0.25">
      <c r="A49" s="22">
        <v>6</v>
      </c>
      <c r="B49" s="32" t="s">
        <v>1481</v>
      </c>
      <c r="C49" s="35">
        <v>44966</v>
      </c>
      <c r="D49" s="24" t="s">
        <v>1325</v>
      </c>
      <c r="E49" s="24" t="s">
        <v>716</v>
      </c>
      <c r="F49" s="24" t="s">
        <v>1206</v>
      </c>
      <c r="G49" s="25">
        <v>2129895950</v>
      </c>
      <c r="H49" s="26">
        <v>18482.5</v>
      </c>
      <c r="I49" s="25">
        <v>267</v>
      </c>
      <c r="J49" s="123"/>
      <c r="S49" s="49"/>
      <c r="T49" s="49"/>
      <c r="U49" s="49"/>
      <c r="V49" s="46"/>
      <c r="W49" s="59"/>
      <c r="X49" s="77"/>
      <c r="Y49" s="77"/>
    </row>
    <row r="50" spans="1:25" ht="47.25" x14ac:dyDescent="0.25">
      <c r="A50" s="22">
        <v>7</v>
      </c>
      <c r="B50" s="32" t="s">
        <v>1466</v>
      </c>
      <c r="C50" s="35">
        <v>44978</v>
      </c>
      <c r="D50" s="24" t="s">
        <v>1336</v>
      </c>
      <c r="E50" s="35" t="s">
        <v>1247</v>
      </c>
      <c r="F50" s="27" t="s">
        <v>1243</v>
      </c>
      <c r="G50" s="25">
        <v>16315105994</v>
      </c>
      <c r="H50" s="26">
        <v>48359.74</v>
      </c>
      <c r="I50" s="25">
        <v>621</v>
      </c>
      <c r="J50" s="123"/>
      <c r="S50" s="49"/>
      <c r="T50" s="49"/>
      <c r="U50" s="49"/>
      <c r="V50" s="46"/>
      <c r="W50" s="59"/>
      <c r="X50" s="77"/>
      <c r="Y50" s="77"/>
    </row>
    <row r="51" spans="1:25" ht="47.25" x14ac:dyDescent="0.25">
      <c r="A51" s="22">
        <v>8</v>
      </c>
      <c r="B51" s="32" t="s">
        <v>1467</v>
      </c>
      <c r="C51" s="35">
        <v>45048</v>
      </c>
      <c r="D51" s="27" t="s">
        <v>212</v>
      </c>
      <c r="E51" s="24" t="s">
        <v>1419</v>
      </c>
      <c r="F51" s="24" t="s">
        <v>1420</v>
      </c>
      <c r="G51" s="25">
        <v>5639392560</v>
      </c>
      <c r="H51" s="84">
        <v>20816</v>
      </c>
      <c r="I51" s="98">
        <v>120</v>
      </c>
      <c r="J51" s="131"/>
      <c r="S51" s="49"/>
      <c r="T51" s="49"/>
      <c r="U51" s="49"/>
      <c r="V51" s="46"/>
      <c r="W51" s="59"/>
      <c r="X51" s="77"/>
      <c r="Y51" s="77"/>
    </row>
    <row r="52" spans="1:25" ht="47.25" x14ac:dyDescent="0.25">
      <c r="A52" s="22">
        <v>9</v>
      </c>
      <c r="B52" s="32" t="s">
        <v>1526</v>
      </c>
      <c r="C52" s="35">
        <v>45063</v>
      </c>
      <c r="D52" s="27" t="s">
        <v>1179</v>
      </c>
      <c r="E52" s="24" t="s">
        <v>791</v>
      </c>
      <c r="F52" s="24" t="s">
        <v>1293</v>
      </c>
      <c r="G52" s="25">
        <v>8666911187</v>
      </c>
      <c r="H52" s="84">
        <v>24550.5</v>
      </c>
      <c r="I52" s="98">
        <v>338</v>
      </c>
      <c r="J52" s="131"/>
      <c r="S52" s="49"/>
      <c r="T52" s="49"/>
      <c r="U52" s="49"/>
      <c r="V52" s="46"/>
      <c r="W52" s="59"/>
      <c r="X52" s="77"/>
      <c r="Y52" s="77"/>
    </row>
    <row r="53" spans="1:25" s="92" customFormat="1" ht="25.5" customHeight="1" x14ac:dyDescent="0.25">
      <c r="A53" s="93"/>
      <c r="B53" s="89" t="s">
        <v>54</v>
      </c>
      <c r="C53" s="89"/>
      <c r="D53" s="89"/>
      <c r="E53" s="93"/>
      <c r="F53" s="93"/>
      <c r="G53" s="90">
        <f>SUM(G44:G52)</f>
        <v>55320537004</v>
      </c>
      <c r="H53" s="90">
        <f>SUM(H44:H52)</f>
        <v>211014.14</v>
      </c>
      <c r="I53" s="90">
        <f>SUM(I44:I52)</f>
        <v>2234</v>
      </c>
      <c r="J53" s="132"/>
    </row>
    <row r="54" spans="1:25" ht="29.25" customHeight="1" x14ac:dyDescent="0.25">
      <c r="J54" s="120"/>
    </row>
    <row r="55" spans="1:25" ht="15.75" customHeight="1" x14ac:dyDescent="0.25">
      <c r="A55" s="129"/>
      <c r="B55" s="129"/>
      <c r="C55" s="130"/>
      <c r="D55" s="130"/>
      <c r="E55" s="120"/>
      <c r="F55" s="120"/>
    </row>
    <row r="56" spans="1:25" ht="33" customHeight="1" x14ac:dyDescent="0.25">
      <c r="B56" s="20" t="s">
        <v>183</v>
      </c>
      <c r="C56" s="20"/>
      <c r="D56" s="20"/>
    </row>
    <row r="57" spans="1:25" ht="78.75" x14ac:dyDescent="0.25">
      <c r="A57" s="21" t="s">
        <v>0</v>
      </c>
      <c r="B57" s="21" t="s">
        <v>24</v>
      </c>
      <c r="C57" s="21" t="s">
        <v>751</v>
      </c>
      <c r="D57" s="21" t="s">
        <v>752</v>
      </c>
      <c r="E57" s="21" t="s">
        <v>749</v>
      </c>
      <c r="F57" s="21" t="s">
        <v>748</v>
      </c>
      <c r="G57" s="21" t="s">
        <v>26</v>
      </c>
      <c r="H57" s="21" t="s">
        <v>177</v>
      </c>
      <c r="I57" s="21" t="s">
        <v>56</v>
      </c>
      <c r="J57" s="21" t="s">
        <v>178</v>
      </c>
      <c r="K57" s="21" t="s">
        <v>31</v>
      </c>
      <c r="L57" s="21" t="s">
        <v>33</v>
      </c>
      <c r="M57" s="21" t="s">
        <v>497</v>
      </c>
      <c r="N57" s="21" t="s">
        <v>35</v>
      </c>
    </row>
    <row r="58" spans="1:25" ht="31.5" x14ac:dyDescent="0.25">
      <c r="A58" s="156">
        <v>1</v>
      </c>
      <c r="B58" s="157" t="s">
        <v>1120</v>
      </c>
      <c r="C58" s="158">
        <v>43895</v>
      </c>
      <c r="D58" s="156" t="s">
        <v>369</v>
      </c>
      <c r="E58" s="156" t="s">
        <v>1124</v>
      </c>
      <c r="F58" s="156" t="s">
        <v>1484</v>
      </c>
      <c r="G58" s="159">
        <v>1246827090</v>
      </c>
      <c r="H58" s="165">
        <v>10153.9</v>
      </c>
      <c r="I58" s="158">
        <v>43976</v>
      </c>
      <c r="J58" s="159">
        <v>108</v>
      </c>
      <c r="K58" s="156">
        <v>14</v>
      </c>
      <c r="L58" s="158">
        <v>43874</v>
      </c>
      <c r="M58" s="158">
        <v>44196</v>
      </c>
      <c r="N58" s="159">
        <v>22629853</v>
      </c>
    </row>
    <row r="59" spans="1:25" ht="25.5" customHeight="1" x14ac:dyDescent="0.25">
      <c r="A59" s="156">
        <v>2</v>
      </c>
      <c r="B59" s="157" t="s">
        <v>1121</v>
      </c>
      <c r="C59" s="158">
        <v>43998</v>
      </c>
      <c r="D59" s="156" t="s">
        <v>1119</v>
      </c>
      <c r="E59" s="156" t="s">
        <v>1123</v>
      </c>
      <c r="F59" s="156" t="s">
        <v>1122</v>
      </c>
      <c r="G59" s="159">
        <v>4027747750</v>
      </c>
      <c r="H59" s="165">
        <v>24565.5</v>
      </c>
      <c r="I59" s="158">
        <v>44176</v>
      </c>
      <c r="J59" s="159">
        <v>240</v>
      </c>
      <c r="K59" s="156">
        <v>16</v>
      </c>
      <c r="L59" s="158">
        <v>43601</v>
      </c>
      <c r="M59" s="158">
        <v>44329</v>
      </c>
      <c r="N59" s="159">
        <v>71542243</v>
      </c>
      <c r="S59" s="49"/>
      <c r="T59" s="49"/>
      <c r="U59" s="49"/>
      <c r="V59" s="46"/>
      <c r="W59" s="59"/>
      <c r="X59" s="59"/>
      <c r="Y59" s="59"/>
    </row>
    <row r="60" spans="1:25" ht="35.25" customHeight="1" x14ac:dyDescent="0.25">
      <c r="A60" s="156">
        <v>3</v>
      </c>
      <c r="B60" s="157" t="s">
        <v>1205</v>
      </c>
      <c r="C60" s="158">
        <v>44908</v>
      </c>
      <c r="D60" s="156" t="s">
        <v>174</v>
      </c>
      <c r="E60" s="158" t="s">
        <v>1236</v>
      </c>
      <c r="F60" s="156" t="s">
        <v>1237</v>
      </c>
      <c r="G60" s="159">
        <v>3613195374</v>
      </c>
      <c r="H60" s="272">
        <v>18486.900000000001</v>
      </c>
      <c r="I60" s="160">
        <v>44946</v>
      </c>
      <c r="J60" s="159">
        <v>240</v>
      </c>
      <c r="K60" s="156">
        <v>5</v>
      </c>
      <c r="L60" s="158">
        <v>44872</v>
      </c>
      <c r="M60" s="158">
        <v>45043</v>
      </c>
      <c r="N60" s="159">
        <f>32444395.91-14484105.36</f>
        <v>17960290.550000001</v>
      </c>
      <c r="S60" s="49"/>
      <c r="T60" s="49"/>
      <c r="U60" s="49"/>
      <c r="V60" s="46"/>
      <c r="W60" s="59"/>
      <c r="X60" s="59"/>
      <c r="Y60" s="59"/>
    </row>
    <row r="61" spans="1:25" ht="35.25" customHeight="1" x14ac:dyDescent="0.25">
      <c r="A61" s="156">
        <v>4</v>
      </c>
      <c r="B61" s="157" t="s">
        <v>770</v>
      </c>
      <c r="C61" s="158">
        <v>44616</v>
      </c>
      <c r="D61" s="156" t="s">
        <v>1179</v>
      </c>
      <c r="E61" s="158" t="s">
        <v>716</v>
      </c>
      <c r="F61" s="156" t="s">
        <v>781</v>
      </c>
      <c r="G61" s="159">
        <v>2448882300</v>
      </c>
      <c r="H61" s="272">
        <v>17982.62</v>
      </c>
      <c r="I61" s="160">
        <v>44651</v>
      </c>
      <c r="J61" s="159">
        <v>180</v>
      </c>
      <c r="K61" s="156">
        <v>19</v>
      </c>
      <c r="L61" s="158">
        <v>44581</v>
      </c>
      <c r="M61" s="158">
        <v>45145</v>
      </c>
      <c r="N61" s="159">
        <v>24037733</v>
      </c>
      <c r="S61" s="49"/>
      <c r="T61" s="49"/>
      <c r="U61" s="49"/>
      <c r="V61" s="46"/>
      <c r="W61" s="59"/>
      <c r="X61" s="59"/>
      <c r="Y61" s="59"/>
    </row>
    <row r="62" spans="1:25" ht="35.25" customHeight="1" x14ac:dyDescent="0.25">
      <c r="A62" s="156">
        <v>5</v>
      </c>
      <c r="B62" s="157" t="s">
        <v>1205</v>
      </c>
      <c r="C62" s="158">
        <v>45029</v>
      </c>
      <c r="D62" s="156" t="s">
        <v>369</v>
      </c>
      <c r="E62" s="158" t="s">
        <v>1295</v>
      </c>
      <c r="F62" s="156" t="s">
        <v>1296</v>
      </c>
      <c r="G62" s="159">
        <v>1812103439</v>
      </c>
      <c r="H62" s="272">
        <v>9847.2999999999993</v>
      </c>
      <c r="I62" s="160">
        <v>45065</v>
      </c>
      <c r="J62" s="159">
        <v>95</v>
      </c>
      <c r="K62" s="156">
        <v>5</v>
      </c>
      <c r="L62" s="158">
        <v>44816</v>
      </c>
      <c r="M62" s="158">
        <v>45259</v>
      </c>
      <c r="N62" s="159">
        <v>14465474</v>
      </c>
      <c r="S62" s="49"/>
      <c r="T62" s="49"/>
      <c r="U62" s="49"/>
      <c r="V62" s="46"/>
      <c r="W62" s="59"/>
      <c r="X62" s="59"/>
      <c r="Y62" s="59"/>
    </row>
    <row r="63" spans="1:25" ht="35.25" customHeight="1" x14ac:dyDescent="0.25">
      <c r="A63" s="156">
        <v>6</v>
      </c>
      <c r="B63" s="157" t="s">
        <v>1202</v>
      </c>
      <c r="C63" s="158">
        <v>44840</v>
      </c>
      <c r="D63" s="156" t="s">
        <v>759</v>
      </c>
      <c r="E63" s="158" t="s">
        <v>703</v>
      </c>
      <c r="F63" s="156" t="s">
        <v>704</v>
      </c>
      <c r="G63" s="159">
        <v>3221033193</v>
      </c>
      <c r="H63" s="272">
        <v>17698.599999999999</v>
      </c>
      <c r="I63" s="160">
        <v>44869</v>
      </c>
      <c r="J63" s="159">
        <v>233</v>
      </c>
      <c r="K63" s="156">
        <v>9</v>
      </c>
      <c r="L63" s="158">
        <v>44732</v>
      </c>
      <c r="M63" s="158">
        <v>45309</v>
      </c>
      <c r="N63" s="159">
        <v>27491853</v>
      </c>
      <c r="S63" s="49"/>
      <c r="T63" s="49"/>
      <c r="U63" s="49"/>
      <c r="V63" s="46"/>
      <c r="W63" s="59"/>
      <c r="X63" s="59"/>
      <c r="Y63" s="59"/>
    </row>
    <row r="64" spans="1:25" ht="35.25" customHeight="1" x14ac:dyDescent="0.25">
      <c r="A64" s="156">
        <v>7</v>
      </c>
      <c r="B64" s="157" t="s">
        <v>1527</v>
      </c>
      <c r="C64" s="158">
        <v>45139</v>
      </c>
      <c r="D64" s="156" t="s">
        <v>760</v>
      </c>
      <c r="E64" s="156" t="s">
        <v>1135</v>
      </c>
      <c r="F64" s="156" t="s">
        <v>1580</v>
      </c>
      <c r="G64" s="161">
        <v>3730317893</v>
      </c>
      <c r="H64" s="270">
        <v>13840.12</v>
      </c>
      <c r="I64" s="160">
        <v>45104</v>
      </c>
      <c r="J64" s="156">
        <v>162</v>
      </c>
      <c r="K64" s="156">
        <v>12.14</v>
      </c>
      <c r="L64" s="158">
        <v>45104</v>
      </c>
      <c r="M64" s="158">
        <v>45378</v>
      </c>
      <c r="N64" s="159">
        <v>34341501</v>
      </c>
      <c r="S64" s="49"/>
      <c r="T64" s="49"/>
      <c r="U64" s="49"/>
      <c r="V64" s="46"/>
      <c r="W64" s="59"/>
      <c r="X64" s="59"/>
      <c r="Y64" s="59"/>
    </row>
    <row r="65" spans="1:25" ht="35.25" customHeight="1" x14ac:dyDescent="0.25">
      <c r="A65" s="156">
        <v>8</v>
      </c>
      <c r="B65" s="157" t="s">
        <v>1441</v>
      </c>
      <c r="C65" s="158">
        <v>45155</v>
      </c>
      <c r="D65" s="156" t="s">
        <v>1589</v>
      </c>
      <c r="E65" s="156" t="s">
        <v>1458</v>
      </c>
      <c r="F65" s="156" t="s">
        <v>1579</v>
      </c>
      <c r="G65" s="161">
        <v>745892709</v>
      </c>
      <c r="H65" s="270">
        <v>2868.92</v>
      </c>
      <c r="I65" s="160">
        <v>45176</v>
      </c>
      <c r="J65" s="156">
        <v>48</v>
      </c>
      <c r="K65" s="156">
        <v>5</v>
      </c>
      <c r="L65" s="158">
        <v>45077</v>
      </c>
      <c r="M65" s="158">
        <v>45468</v>
      </c>
      <c r="N65" s="161">
        <v>7265264</v>
      </c>
      <c r="S65" s="49"/>
      <c r="T65" s="49"/>
      <c r="U65" s="49"/>
      <c r="V65" s="46"/>
      <c r="W65" s="59"/>
      <c r="X65" s="59"/>
      <c r="Y65" s="59"/>
    </row>
    <row r="66" spans="1:25" s="92" customFormat="1" ht="27" customHeight="1" x14ac:dyDescent="0.25">
      <c r="A66" s="89"/>
      <c r="B66" s="89" t="s">
        <v>54</v>
      </c>
      <c r="C66" s="89"/>
      <c r="D66" s="89"/>
      <c r="E66" s="89"/>
      <c r="F66" s="89"/>
      <c r="G66" s="90">
        <f>SUM(G60:G65)</f>
        <v>15571424908</v>
      </c>
      <c r="H66" s="90">
        <f>SUM(H60:H65)</f>
        <v>80724.460000000006</v>
      </c>
      <c r="I66" s="90"/>
      <c r="J66" s="90">
        <f>SUM(J60:J65)</f>
        <v>958</v>
      </c>
      <c r="K66" s="89"/>
      <c r="L66" s="89"/>
      <c r="M66" s="89"/>
      <c r="N66" s="90">
        <f>SUM(N60:N65)</f>
        <v>125562115.55</v>
      </c>
      <c r="S66" s="91"/>
      <c r="T66" s="91"/>
      <c r="U66" s="91"/>
      <c r="V66" s="18"/>
      <c r="W66" s="91"/>
      <c r="X66" s="91"/>
      <c r="Y66" s="91"/>
    </row>
    <row r="67" spans="1:25" ht="29.25" customHeight="1" x14ac:dyDescent="0.25">
      <c r="A67" s="49"/>
      <c r="B67" s="45"/>
      <c r="C67" s="45"/>
      <c r="D67" s="45"/>
      <c r="E67" s="49"/>
      <c r="F67" s="49"/>
      <c r="G67" s="46"/>
      <c r="H67" s="47"/>
      <c r="I67" s="47"/>
      <c r="J67" s="47"/>
      <c r="K67" s="55"/>
      <c r="L67" s="49"/>
      <c r="M67" s="48"/>
      <c r="N67" s="46"/>
      <c r="O67" s="46"/>
      <c r="P67" s="49"/>
      <c r="Q67" s="48"/>
      <c r="R67" s="48"/>
      <c r="S67" s="49"/>
      <c r="T67" s="49"/>
      <c r="U67" s="49"/>
      <c r="V67" s="46"/>
      <c r="W67" s="59"/>
      <c r="X67" s="59"/>
      <c r="Y67" s="59"/>
    </row>
    <row r="69" spans="1:25" ht="36.75" customHeight="1" x14ac:dyDescent="0.25">
      <c r="A69" s="637" t="s">
        <v>1489</v>
      </c>
      <c r="B69" s="637"/>
      <c r="C69" s="164">
        <f>C40</f>
        <v>28</v>
      </c>
      <c r="D69" s="164">
        <f>D40</f>
        <v>130559542932.52</v>
      </c>
      <c r="E69" s="243"/>
      <c r="F69" s="164">
        <f>F40</f>
        <v>5482</v>
      </c>
    </row>
    <row r="70" spans="1:25" ht="36" customHeight="1" x14ac:dyDescent="0.25">
      <c r="A70" s="637" t="s">
        <v>1506</v>
      </c>
      <c r="B70" s="637"/>
      <c r="C70" s="164">
        <f>A52</f>
        <v>9</v>
      </c>
      <c r="D70" s="164">
        <f>G53</f>
        <v>55320537004</v>
      </c>
      <c r="E70" s="164">
        <f>H53</f>
        <v>211014.14</v>
      </c>
      <c r="F70" s="164">
        <f>I53</f>
        <v>2234</v>
      </c>
    </row>
    <row r="71" spans="1:25" ht="38.25" customHeight="1" x14ac:dyDescent="0.25">
      <c r="A71" s="637" t="s">
        <v>1507</v>
      </c>
      <c r="B71" s="637"/>
      <c r="C71" s="164">
        <v>7</v>
      </c>
      <c r="D71" s="164">
        <f>G66</f>
        <v>15571424908</v>
      </c>
      <c r="E71" s="164">
        <f>H66</f>
        <v>80724.460000000006</v>
      </c>
      <c r="F71" s="164">
        <f>J66</f>
        <v>958</v>
      </c>
    </row>
    <row r="75" spans="1:25" x14ac:dyDescent="0.25">
      <c r="B75" s="71"/>
    </row>
    <row r="76" spans="1:25" x14ac:dyDescent="0.25">
      <c r="B76" s="71"/>
    </row>
    <row r="77" spans="1:25" x14ac:dyDescent="0.25">
      <c r="B77" s="71"/>
    </row>
    <row r="78" spans="1:25" x14ac:dyDescent="0.25">
      <c r="B78" s="71"/>
    </row>
    <row r="79" spans="1:25" x14ac:dyDescent="0.25">
      <c r="B79" s="71"/>
    </row>
  </sheetData>
  <sheetProtection formatCells="0" formatColumns="0" formatRows="0" insertColumns="0" insertRows="0" insertHyperlinks="0" deleteColumns="0" deleteRows="0" sort="0" autoFilter="0" pivotTables="0"/>
  <autoFilter ref="A57:N66"/>
  <mergeCells count="4">
    <mergeCell ref="A71:B71"/>
    <mergeCell ref="A40:B40"/>
    <mergeCell ref="A69:B69"/>
    <mergeCell ref="A70:B70"/>
  </mergeCells>
  <pageMargins left="0.23622047244094491" right="0.15748031496062992" top="0.43307086614173229" bottom="0.47244094488188981" header="0.31496062992125984" footer="0.31496062992125984"/>
  <pageSetup paperSize="9" scale="32" fitToHeight="0" orientation="landscape" r:id="rId1"/>
  <headerFooter>
    <oddFooter>&amp;C&amp;P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1"/>
  <sheetViews>
    <sheetView view="pageBreakPreview" zoomScaleNormal="55" zoomScaleSheetLayoutView="100" workbookViewId="0">
      <selection activeCell="L1" sqref="L1:M1048576"/>
    </sheetView>
  </sheetViews>
  <sheetFormatPr defaultRowHeight="15" x14ac:dyDescent="0.25"/>
  <cols>
    <col min="1" max="1" width="6" customWidth="1"/>
    <col min="2" max="2" width="11.28515625" customWidth="1"/>
    <col min="3" max="3" width="39.5703125" customWidth="1"/>
    <col min="4" max="4" width="15" customWidth="1"/>
    <col min="5" max="5" width="25.5703125" customWidth="1"/>
    <col min="6" max="6" width="18.7109375" hidden="1" customWidth="1"/>
    <col min="7" max="7" width="26.5703125" customWidth="1"/>
    <col min="8" max="8" width="21.7109375" hidden="1" customWidth="1"/>
    <col min="9" max="9" width="22.7109375" bestFit="1" customWidth="1"/>
    <col min="10" max="10" width="17.140625" customWidth="1"/>
    <col min="11" max="11" width="14.28515625" customWidth="1"/>
    <col min="12" max="12" width="19.5703125" hidden="1" customWidth="1"/>
    <col min="13" max="13" width="15" hidden="1" customWidth="1"/>
    <col min="14" max="14" width="20.85546875" customWidth="1"/>
    <col min="15" max="15" width="15.7109375" customWidth="1"/>
    <col min="16" max="16" width="16.140625" customWidth="1"/>
    <col min="17" max="17" width="17.140625" customWidth="1"/>
    <col min="18" max="18" width="17" customWidth="1"/>
    <col min="19" max="19" width="17.140625" customWidth="1"/>
    <col min="20" max="20" width="16.7109375" customWidth="1"/>
    <col min="21" max="21" width="13.5703125" customWidth="1"/>
    <col min="22" max="22" width="14" customWidth="1"/>
    <col min="23" max="29" width="16.42578125" customWidth="1"/>
    <col min="30" max="30" width="27.140625" customWidth="1"/>
    <col min="31" max="32" width="28.7109375" customWidth="1"/>
    <col min="33" max="34" width="13.42578125" customWidth="1"/>
    <col min="35" max="35" width="10.85546875" customWidth="1"/>
    <col min="37" max="37" width="14" customWidth="1"/>
  </cols>
  <sheetData>
    <row r="1" spans="1:29" ht="45" customHeight="1" x14ac:dyDescent="0.25">
      <c r="A1" s="19"/>
      <c r="B1" s="236" t="s">
        <v>1885</v>
      </c>
      <c r="C1" s="237"/>
      <c r="D1" s="237"/>
      <c r="E1" s="237"/>
      <c r="F1" s="237"/>
      <c r="G1" s="237"/>
      <c r="H1" s="237"/>
      <c r="I1" s="237"/>
      <c r="J1" s="19"/>
      <c r="K1" s="19"/>
      <c r="L1" s="19"/>
      <c r="M1" s="19"/>
      <c r="AB1" s="19"/>
      <c r="AC1" s="94"/>
    </row>
    <row r="2" spans="1:29" ht="45" customHeight="1" x14ac:dyDescent="0.25">
      <c r="A2" s="21" t="s">
        <v>0</v>
      </c>
      <c r="B2" s="21" t="s">
        <v>1452</v>
      </c>
      <c r="C2" s="21" t="s">
        <v>794</v>
      </c>
      <c r="D2" s="21" t="s">
        <v>1390</v>
      </c>
      <c r="E2" s="21" t="s">
        <v>749</v>
      </c>
      <c r="F2" s="21"/>
      <c r="G2" s="21" t="s">
        <v>1886</v>
      </c>
      <c r="H2" s="21"/>
      <c r="I2" s="21" t="s">
        <v>26</v>
      </c>
      <c r="J2" s="21" t="s">
        <v>30</v>
      </c>
      <c r="K2" s="21" t="s">
        <v>521</v>
      </c>
      <c r="L2" s="21"/>
      <c r="M2" s="21"/>
      <c r="N2" s="21" t="s">
        <v>519</v>
      </c>
      <c r="O2" s="221" t="s">
        <v>1887</v>
      </c>
      <c r="P2" s="221" t="s">
        <v>515</v>
      </c>
      <c r="Q2" s="221" t="s">
        <v>516</v>
      </c>
      <c r="R2" s="221" t="s">
        <v>586</v>
      </c>
      <c r="S2" s="221" t="s">
        <v>517</v>
      </c>
      <c r="T2" s="221" t="s">
        <v>518</v>
      </c>
      <c r="U2" s="670" t="s">
        <v>522</v>
      </c>
      <c r="V2" s="671"/>
      <c r="W2" s="221" t="s">
        <v>1887</v>
      </c>
      <c r="X2" s="221" t="s">
        <v>515</v>
      </c>
      <c r="Y2" s="221" t="s">
        <v>516</v>
      </c>
      <c r="Z2" s="221" t="s">
        <v>586</v>
      </c>
      <c r="AA2" s="221" t="s">
        <v>517</v>
      </c>
      <c r="AB2" s="221" t="s">
        <v>518</v>
      </c>
      <c r="AC2" s="222" t="s">
        <v>1799</v>
      </c>
    </row>
    <row r="3" spans="1:29" ht="31.5" x14ac:dyDescent="0.25">
      <c r="A3" s="22">
        <v>1</v>
      </c>
      <c r="B3" s="22">
        <v>211</v>
      </c>
      <c r="C3" s="32" t="s">
        <v>504</v>
      </c>
      <c r="D3" s="27" t="s">
        <v>1842</v>
      </c>
      <c r="E3" s="27" t="s">
        <v>1133</v>
      </c>
      <c r="F3" s="27"/>
      <c r="G3" s="27" t="s">
        <v>1888</v>
      </c>
      <c r="H3" s="27"/>
      <c r="I3" s="98">
        <v>1908879358</v>
      </c>
      <c r="J3" s="98">
        <v>57</v>
      </c>
      <c r="K3" s="35">
        <v>44726</v>
      </c>
      <c r="L3" s="35"/>
      <c r="M3" s="35"/>
      <c r="N3" s="99" t="s">
        <v>1889</v>
      </c>
      <c r="O3" s="35" t="s">
        <v>1890</v>
      </c>
      <c r="P3" s="35" t="s">
        <v>1890</v>
      </c>
      <c r="Q3" s="35" t="s">
        <v>1890</v>
      </c>
      <c r="R3" s="35" t="s">
        <v>1890</v>
      </c>
      <c r="S3" s="35" t="s">
        <v>1890</v>
      </c>
      <c r="T3" s="35" t="s">
        <v>1890</v>
      </c>
      <c r="U3" s="101">
        <v>44736</v>
      </c>
      <c r="V3" s="672" t="s">
        <v>1891</v>
      </c>
      <c r="W3" s="673"/>
      <c r="X3" s="673"/>
      <c r="Y3" s="673"/>
      <c r="Z3" s="673"/>
      <c r="AA3" s="673"/>
      <c r="AB3" s="673"/>
      <c r="AC3" s="674"/>
    </row>
    <row r="4" spans="1:29" ht="31.5" x14ac:dyDescent="0.25">
      <c r="A4" s="22">
        <v>2</v>
      </c>
      <c r="B4" s="22">
        <v>220</v>
      </c>
      <c r="C4" s="32" t="s">
        <v>376</v>
      </c>
      <c r="D4" s="27" t="s">
        <v>1863</v>
      </c>
      <c r="E4" s="27" t="s">
        <v>1137</v>
      </c>
      <c r="F4" s="27"/>
      <c r="G4" s="27" t="s">
        <v>1136</v>
      </c>
      <c r="H4" s="27"/>
      <c r="I4" s="98">
        <v>1923682907</v>
      </c>
      <c r="J4" s="98" t="s">
        <v>1892</v>
      </c>
      <c r="K4" s="35">
        <v>44735</v>
      </c>
      <c r="L4" s="35"/>
      <c r="M4" s="35"/>
      <c r="N4" s="99" t="s">
        <v>1893</v>
      </c>
      <c r="O4" s="35">
        <v>44739</v>
      </c>
      <c r="P4" s="35">
        <v>44741</v>
      </c>
      <c r="Q4" s="35">
        <v>44740</v>
      </c>
      <c r="R4" s="35">
        <v>44747</v>
      </c>
      <c r="S4" s="35">
        <v>44736</v>
      </c>
      <c r="T4" s="35">
        <v>44747</v>
      </c>
      <c r="U4" s="101">
        <v>44747</v>
      </c>
      <c r="V4" s="101">
        <v>44754</v>
      </c>
      <c r="W4" s="664" t="s">
        <v>1894</v>
      </c>
      <c r="X4" s="665"/>
      <c r="Y4" s="665"/>
      <c r="Z4" s="665"/>
      <c r="AA4" s="665"/>
      <c r="AB4" s="665"/>
      <c r="AC4" s="666"/>
    </row>
    <row r="5" spans="1:29" ht="31.5" x14ac:dyDescent="0.25">
      <c r="A5" s="22">
        <v>3</v>
      </c>
      <c r="B5" s="22">
        <v>231</v>
      </c>
      <c r="C5" s="32" t="s">
        <v>1895</v>
      </c>
      <c r="D5" s="27" t="s">
        <v>1896</v>
      </c>
      <c r="E5" s="27" t="s">
        <v>1143</v>
      </c>
      <c r="F5" s="27"/>
      <c r="G5" s="27" t="s">
        <v>1142</v>
      </c>
      <c r="H5" s="27"/>
      <c r="I5" s="98">
        <v>5758858727</v>
      </c>
      <c r="J5" s="98">
        <v>344</v>
      </c>
      <c r="K5" s="35">
        <v>44753</v>
      </c>
      <c r="L5" s="35"/>
      <c r="M5" s="35"/>
      <c r="N5" s="99" t="s">
        <v>1897</v>
      </c>
      <c r="O5" s="100">
        <v>44757</v>
      </c>
      <c r="P5" s="35">
        <v>44755</v>
      </c>
      <c r="Q5" s="35">
        <v>44755</v>
      </c>
      <c r="R5" s="100">
        <v>44753</v>
      </c>
      <c r="S5" s="100">
        <v>44756</v>
      </c>
      <c r="T5" s="35">
        <v>44762</v>
      </c>
      <c r="U5" s="101">
        <v>44762</v>
      </c>
      <c r="V5" s="101">
        <v>44770</v>
      </c>
      <c r="W5" s="664" t="s">
        <v>1898</v>
      </c>
      <c r="X5" s="665"/>
      <c r="Y5" s="665"/>
      <c r="Z5" s="665"/>
      <c r="AA5" s="665"/>
      <c r="AB5" s="665"/>
      <c r="AC5" s="666"/>
    </row>
    <row r="6" spans="1:29" ht="31.5" x14ac:dyDescent="0.25">
      <c r="A6" s="22">
        <v>4</v>
      </c>
      <c r="B6" s="22">
        <v>227</v>
      </c>
      <c r="C6" s="32" t="s">
        <v>528</v>
      </c>
      <c r="D6" s="27" t="s">
        <v>1896</v>
      </c>
      <c r="E6" s="27" t="s">
        <v>1899</v>
      </c>
      <c r="F6" s="27"/>
      <c r="G6" s="27" t="s">
        <v>1900</v>
      </c>
      <c r="H6" s="27"/>
      <c r="I6" s="98">
        <v>3655024230</v>
      </c>
      <c r="J6" s="99">
        <v>312</v>
      </c>
      <c r="K6" s="35">
        <v>44741</v>
      </c>
      <c r="L6" s="35"/>
      <c r="M6" s="35"/>
      <c r="N6" s="99" t="s">
        <v>547</v>
      </c>
      <c r="O6" s="100">
        <v>44746</v>
      </c>
      <c r="P6" s="35">
        <v>44747</v>
      </c>
      <c r="Q6" s="35">
        <v>44747</v>
      </c>
      <c r="R6" s="100">
        <v>44746</v>
      </c>
      <c r="S6" s="100">
        <v>44746</v>
      </c>
      <c r="T6" s="35">
        <v>44754</v>
      </c>
      <c r="U6" s="101">
        <v>44754</v>
      </c>
      <c r="V6" s="101">
        <v>44762</v>
      </c>
      <c r="W6" s="664" t="s">
        <v>1901</v>
      </c>
      <c r="X6" s="665"/>
      <c r="Y6" s="665"/>
      <c r="Z6" s="665"/>
      <c r="AA6" s="665"/>
      <c r="AB6" s="665"/>
      <c r="AC6" s="666"/>
    </row>
    <row r="7" spans="1:29" ht="31.5" x14ac:dyDescent="0.25">
      <c r="A7" s="22">
        <v>5</v>
      </c>
      <c r="B7" s="22">
        <v>233</v>
      </c>
      <c r="C7" s="32" t="s">
        <v>376</v>
      </c>
      <c r="D7" s="27" t="s">
        <v>1863</v>
      </c>
      <c r="E7" s="27" t="s">
        <v>1902</v>
      </c>
      <c r="F7" s="27"/>
      <c r="G7" s="27" t="s">
        <v>1144</v>
      </c>
      <c r="H7" s="27"/>
      <c r="I7" s="102">
        <v>2625205130</v>
      </c>
      <c r="J7" s="98">
        <v>136</v>
      </c>
      <c r="K7" s="35">
        <v>44762</v>
      </c>
      <c r="L7" s="35"/>
      <c r="M7" s="35"/>
      <c r="N7" s="99" t="s">
        <v>1903</v>
      </c>
      <c r="O7" s="100">
        <v>44767</v>
      </c>
      <c r="P7" s="35">
        <v>44767</v>
      </c>
      <c r="Q7" s="35">
        <v>44767</v>
      </c>
      <c r="R7" s="100">
        <v>44764</v>
      </c>
      <c r="S7" s="100">
        <v>44767</v>
      </c>
      <c r="T7" s="35">
        <v>44774</v>
      </c>
      <c r="U7" s="101">
        <v>44775</v>
      </c>
      <c r="V7" s="664" t="s">
        <v>1904</v>
      </c>
      <c r="W7" s="665"/>
      <c r="X7" s="665"/>
      <c r="Y7" s="665"/>
      <c r="Z7" s="665"/>
      <c r="AA7" s="665"/>
      <c r="AB7" s="665"/>
      <c r="AC7" s="666"/>
    </row>
    <row r="8" spans="1:29" ht="31.5" x14ac:dyDescent="0.25">
      <c r="A8" s="22">
        <v>6</v>
      </c>
      <c r="B8" s="22">
        <v>237</v>
      </c>
      <c r="C8" s="32" t="s">
        <v>1905</v>
      </c>
      <c r="D8" s="27" t="s">
        <v>173</v>
      </c>
      <c r="E8" s="27" t="s">
        <v>1147</v>
      </c>
      <c r="F8" s="27"/>
      <c r="G8" s="27" t="s">
        <v>1146</v>
      </c>
      <c r="H8" s="27"/>
      <c r="I8" s="98">
        <v>2282540061</v>
      </c>
      <c r="J8" s="98">
        <v>180</v>
      </c>
      <c r="K8" s="35">
        <v>44762</v>
      </c>
      <c r="L8" s="35"/>
      <c r="M8" s="35"/>
      <c r="N8" s="99" t="s">
        <v>520</v>
      </c>
      <c r="O8" s="100">
        <v>44767</v>
      </c>
      <c r="P8" s="35">
        <v>44767</v>
      </c>
      <c r="Q8" s="35">
        <v>44764</v>
      </c>
      <c r="R8" s="100">
        <v>44768</v>
      </c>
      <c r="S8" s="100">
        <v>44768</v>
      </c>
      <c r="T8" s="35">
        <v>44774</v>
      </c>
      <c r="U8" s="101">
        <v>44774</v>
      </c>
      <c r="V8" s="101">
        <v>44784</v>
      </c>
      <c r="W8" s="35" t="s">
        <v>1906</v>
      </c>
      <c r="X8" s="35" t="s">
        <v>1907</v>
      </c>
      <c r="Y8" s="35"/>
      <c r="Z8" s="35"/>
      <c r="AA8" s="35" t="s">
        <v>1908</v>
      </c>
      <c r="AB8" s="35" t="s">
        <v>1907</v>
      </c>
      <c r="AC8" s="244"/>
    </row>
    <row r="9" spans="1:29" ht="31.5" x14ac:dyDescent="0.25">
      <c r="A9" s="22">
        <v>7</v>
      </c>
      <c r="B9" s="22">
        <v>247</v>
      </c>
      <c r="C9" s="32" t="s">
        <v>505</v>
      </c>
      <c r="D9" s="27" t="s">
        <v>1428</v>
      </c>
      <c r="E9" s="27" t="s">
        <v>1178</v>
      </c>
      <c r="F9" s="27"/>
      <c r="G9" s="27" t="s">
        <v>1909</v>
      </c>
      <c r="H9" s="27"/>
      <c r="I9" s="98">
        <v>5663317430</v>
      </c>
      <c r="J9" s="98">
        <v>208</v>
      </c>
      <c r="K9" s="35">
        <v>44784</v>
      </c>
      <c r="L9" s="35"/>
      <c r="M9" s="35"/>
      <c r="N9" s="99" t="s">
        <v>1910</v>
      </c>
      <c r="O9" s="35" t="s">
        <v>1906</v>
      </c>
      <c r="P9" s="35" t="s">
        <v>1907</v>
      </c>
      <c r="Q9" s="35">
        <v>44788</v>
      </c>
      <c r="R9" s="35" t="s">
        <v>1911</v>
      </c>
      <c r="S9" s="35" t="s">
        <v>1912</v>
      </c>
      <c r="T9" s="35" t="s">
        <v>1913</v>
      </c>
      <c r="U9" s="101">
        <v>44797</v>
      </c>
      <c r="V9" s="664" t="s">
        <v>1914</v>
      </c>
      <c r="W9" s="665"/>
      <c r="X9" s="665"/>
      <c r="Y9" s="665"/>
      <c r="Z9" s="665"/>
      <c r="AA9" s="665"/>
      <c r="AB9" s="665"/>
      <c r="AC9" s="666"/>
    </row>
    <row r="10" spans="1:29" ht="31.5" x14ac:dyDescent="0.25">
      <c r="A10" s="22">
        <v>8</v>
      </c>
      <c r="B10" s="22">
        <v>206</v>
      </c>
      <c r="C10" s="32" t="s">
        <v>1915</v>
      </c>
      <c r="D10" s="27" t="s">
        <v>1388</v>
      </c>
      <c r="E10" s="27" t="s">
        <v>1192</v>
      </c>
      <c r="F10" s="27"/>
      <c r="G10" s="27" t="s">
        <v>1916</v>
      </c>
      <c r="H10" s="27"/>
      <c r="I10" s="98">
        <v>7777340509</v>
      </c>
      <c r="J10" s="98">
        <v>373</v>
      </c>
      <c r="K10" s="35">
        <v>44783</v>
      </c>
      <c r="L10" s="35"/>
      <c r="M10" s="35"/>
      <c r="N10" s="99" t="s">
        <v>671</v>
      </c>
      <c r="O10" s="35" t="s">
        <v>1908</v>
      </c>
      <c r="P10" s="35" t="s">
        <v>1908</v>
      </c>
      <c r="Q10" s="35" t="s">
        <v>1911</v>
      </c>
      <c r="R10" s="35" t="s">
        <v>1917</v>
      </c>
      <c r="S10" s="35" t="s">
        <v>1908</v>
      </c>
      <c r="T10" s="35" t="s">
        <v>1918</v>
      </c>
      <c r="U10" s="101">
        <v>44795</v>
      </c>
      <c r="V10" s="101">
        <v>44804</v>
      </c>
      <c r="W10" s="35" t="s">
        <v>1919</v>
      </c>
      <c r="X10" s="35" t="s">
        <v>1920</v>
      </c>
      <c r="Y10" s="35" t="s">
        <v>1921</v>
      </c>
      <c r="Z10" s="35" t="s">
        <v>1922</v>
      </c>
      <c r="AA10" s="35" t="s">
        <v>1922</v>
      </c>
      <c r="AB10" s="35" t="s">
        <v>1919</v>
      </c>
      <c r="AC10" s="244"/>
    </row>
    <row r="11" spans="1:29" ht="31.5" x14ac:dyDescent="0.25">
      <c r="A11" s="22">
        <v>9</v>
      </c>
      <c r="B11" s="22">
        <v>242</v>
      </c>
      <c r="C11" s="32" t="s">
        <v>675</v>
      </c>
      <c r="D11" s="27" t="s">
        <v>1428</v>
      </c>
      <c r="E11" s="27" t="s">
        <v>1194</v>
      </c>
      <c r="F11" s="27"/>
      <c r="G11" s="27" t="s">
        <v>1923</v>
      </c>
      <c r="H11" s="27"/>
      <c r="I11" s="98">
        <v>2088288586</v>
      </c>
      <c r="J11" s="98">
        <v>42</v>
      </c>
      <c r="K11" s="35">
        <v>44785</v>
      </c>
      <c r="L11" s="35"/>
      <c r="M11" s="35"/>
      <c r="N11" s="99" t="s">
        <v>1893</v>
      </c>
      <c r="O11" s="35" t="s">
        <v>1924</v>
      </c>
      <c r="P11" s="35" t="s">
        <v>1925</v>
      </c>
      <c r="Q11" s="35">
        <v>44791</v>
      </c>
      <c r="R11" s="35" t="s">
        <v>1907</v>
      </c>
      <c r="S11" s="35" t="s">
        <v>1925</v>
      </c>
      <c r="T11" s="35" t="s">
        <v>1913</v>
      </c>
      <c r="U11" s="101">
        <v>44798</v>
      </c>
      <c r="V11" s="101">
        <v>44811</v>
      </c>
      <c r="W11" s="35" t="s">
        <v>1926</v>
      </c>
      <c r="X11" s="35" t="s">
        <v>1926</v>
      </c>
      <c r="Y11" s="35"/>
      <c r="Z11" s="35"/>
      <c r="AA11" s="35"/>
      <c r="AB11" s="35"/>
      <c r="AC11" s="244"/>
    </row>
    <row r="12" spans="1:29" ht="31.5" x14ac:dyDescent="0.25">
      <c r="A12" s="22">
        <v>10</v>
      </c>
      <c r="B12" s="22">
        <v>250</v>
      </c>
      <c r="C12" s="32" t="s">
        <v>1066</v>
      </c>
      <c r="D12" s="27" t="s">
        <v>1388</v>
      </c>
      <c r="E12" s="27" t="s">
        <v>1195</v>
      </c>
      <c r="F12" s="27"/>
      <c r="G12" s="27" t="s">
        <v>1927</v>
      </c>
      <c r="H12" s="27"/>
      <c r="I12" s="98">
        <v>6536713477</v>
      </c>
      <c r="J12" s="98">
        <v>234</v>
      </c>
      <c r="K12" s="35">
        <v>44811</v>
      </c>
      <c r="L12" s="35"/>
      <c r="M12" s="35"/>
      <c r="N12" s="99" t="s">
        <v>1928</v>
      </c>
      <c r="O12" s="100">
        <v>44817</v>
      </c>
      <c r="P12" s="35">
        <v>44817</v>
      </c>
      <c r="Q12" s="35">
        <v>44816</v>
      </c>
      <c r="R12" s="100">
        <v>44813</v>
      </c>
      <c r="S12" s="100">
        <v>44817</v>
      </c>
      <c r="T12" s="35">
        <v>44823</v>
      </c>
      <c r="U12" s="101">
        <v>44824</v>
      </c>
      <c r="V12" s="664" t="s">
        <v>1914</v>
      </c>
      <c r="W12" s="665"/>
      <c r="X12" s="665"/>
      <c r="Y12" s="665"/>
      <c r="Z12" s="665"/>
      <c r="AA12" s="665"/>
      <c r="AB12" s="665"/>
      <c r="AC12" s="666"/>
    </row>
    <row r="13" spans="1:29" ht="47.25" x14ac:dyDescent="0.25">
      <c r="A13" s="22">
        <v>11</v>
      </c>
      <c r="B13" s="22">
        <v>252</v>
      </c>
      <c r="C13" s="32" t="s">
        <v>1156</v>
      </c>
      <c r="D13" s="24" t="s">
        <v>1832</v>
      </c>
      <c r="E13" s="24" t="s">
        <v>1139</v>
      </c>
      <c r="F13" s="24"/>
      <c r="G13" s="24" t="s">
        <v>1929</v>
      </c>
      <c r="H13" s="24"/>
      <c r="I13" s="98">
        <v>3974338040</v>
      </c>
      <c r="J13" s="98">
        <v>132</v>
      </c>
      <c r="K13" s="35">
        <v>44816</v>
      </c>
      <c r="L13" s="35"/>
      <c r="M13" s="35"/>
      <c r="N13" s="99" t="s">
        <v>1157</v>
      </c>
      <c r="O13" s="100">
        <v>44820</v>
      </c>
      <c r="P13" s="35">
        <v>44820</v>
      </c>
      <c r="Q13" s="35">
        <v>44819</v>
      </c>
      <c r="R13" s="100">
        <v>44819</v>
      </c>
      <c r="S13" s="100">
        <v>44820</v>
      </c>
      <c r="T13" s="35">
        <v>44826</v>
      </c>
      <c r="U13" s="101">
        <v>44826</v>
      </c>
      <c r="V13" s="101">
        <v>44834</v>
      </c>
      <c r="W13" s="35" t="s">
        <v>1930</v>
      </c>
      <c r="X13" s="35" t="s">
        <v>1930</v>
      </c>
      <c r="Y13" s="35" t="s">
        <v>1931</v>
      </c>
      <c r="Z13" s="35">
        <v>44837</v>
      </c>
      <c r="AA13" s="35" t="s">
        <v>1930</v>
      </c>
      <c r="AB13" s="35" t="s">
        <v>1932</v>
      </c>
      <c r="AC13" s="35" t="s">
        <v>1914</v>
      </c>
    </row>
    <row r="14" spans="1:29" ht="47.25" x14ac:dyDescent="0.25">
      <c r="A14" s="22">
        <v>12</v>
      </c>
      <c r="B14" s="22">
        <v>253</v>
      </c>
      <c r="C14" s="32" t="s">
        <v>1158</v>
      </c>
      <c r="D14" s="24" t="s">
        <v>1832</v>
      </c>
      <c r="E14" s="24" t="s">
        <v>1139</v>
      </c>
      <c r="F14" s="24"/>
      <c r="G14" s="24" t="s">
        <v>1929</v>
      </c>
      <c r="H14" s="24"/>
      <c r="I14" s="98">
        <v>4087535350</v>
      </c>
      <c r="J14" s="98">
        <v>144</v>
      </c>
      <c r="K14" s="35">
        <v>44816</v>
      </c>
      <c r="L14" s="35"/>
      <c r="M14" s="35"/>
      <c r="N14" s="99" t="s">
        <v>1157</v>
      </c>
      <c r="O14" s="100">
        <v>44820</v>
      </c>
      <c r="P14" s="35">
        <v>44820</v>
      </c>
      <c r="Q14" s="35">
        <v>44819</v>
      </c>
      <c r="R14" s="100">
        <v>44819</v>
      </c>
      <c r="S14" s="100">
        <v>44820</v>
      </c>
      <c r="T14" s="35">
        <v>44826</v>
      </c>
      <c r="U14" s="101">
        <v>44826</v>
      </c>
      <c r="V14" s="101">
        <v>44834</v>
      </c>
      <c r="W14" s="35" t="s">
        <v>1930</v>
      </c>
      <c r="X14" s="35" t="s">
        <v>1930</v>
      </c>
      <c r="Y14" s="35" t="s">
        <v>1931</v>
      </c>
      <c r="Z14" s="35">
        <v>44837</v>
      </c>
      <c r="AA14" s="35" t="s">
        <v>1930</v>
      </c>
      <c r="AB14" s="35" t="s">
        <v>1932</v>
      </c>
      <c r="AC14" s="35" t="s">
        <v>1914</v>
      </c>
    </row>
    <row r="15" spans="1:29" ht="47.25" x14ac:dyDescent="0.25">
      <c r="A15" s="22">
        <v>13</v>
      </c>
      <c r="B15" s="22">
        <v>258</v>
      </c>
      <c r="C15" s="32" t="s">
        <v>675</v>
      </c>
      <c r="D15" s="27" t="s">
        <v>1428</v>
      </c>
      <c r="E15" s="27" t="s">
        <v>1194</v>
      </c>
      <c r="F15" s="27"/>
      <c r="G15" s="27" t="s">
        <v>1923</v>
      </c>
      <c r="H15" s="27"/>
      <c r="I15" s="98">
        <v>2088288586</v>
      </c>
      <c r="J15" s="98">
        <v>42</v>
      </c>
      <c r="K15" s="35">
        <v>44833</v>
      </c>
      <c r="L15" s="35"/>
      <c r="M15" s="35"/>
      <c r="N15" s="99" t="s">
        <v>671</v>
      </c>
      <c r="O15" s="35">
        <v>44839</v>
      </c>
      <c r="P15" s="35">
        <v>44839</v>
      </c>
      <c r="Q15" s="35">
        <v>44837</v>
      </c>
      <c r="R15" s="35">
        <v>44834</v>
      </c>
      <c r="S15" s="35">
        <v>44839</v>
      </c>
      <c r="T15" s="35">
        <v>44846</v>
      </c>
      <c r="U15" s="101">
        <v>44847</v>
      </c>
      <c r="V15" s="101">
        <v>44854</v>
      </c>
      <c r="W15" s="35" t="s">
        <v>1180</v>
      </c>
      <c r="X15" s="35" t="s">
        <v>1933</v>
      </c>
      <c r="Y15" s="35">
        <v>44856</v>
      </c>
      <c r="Z15" s="35" t="s">
        <v>1934</v>
      </c>
      <c r="AA15" s="35" t="s">
        <v>1935</v>
      </c>
      <c r="AB15" s="35" t="s">
        <v>1935</v>
      </c>
      <c r="AC15" s="35" t="s">
        <v>1936</v>
      </c>
    </row>
    <row r="16" spans="1:29" ht="20.25" x14ac:dyDescent="0.25">
      <c r="A16" s="37"/>
      <c r="B16" s="37"/>
      <c r="C16" s="37" t="s">
        <v>54</v>
      </c>
      <c r="D16" s="37"/>
      <c r="E16" s="37"/>
      <c r="F16" s="37"/>
      <c r="G16" s="37"/>
      <c r="H16" s="37"/>
      <c r="I16" s="38">
        <f>SUM(I3:I15)</f>
        <v>50370012391</v>
      </c>
      <c r="J16" s="38">
        <f>SUM(J3:J15)</f>
        <v>2204</v>
      </c>
      <c r="K16" s="39"/>
      <c r="L16" s="39"/>
      <c r="M16" s="39"/>
      <c r="N16" s="39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21" spans="1:30" ht="31.5" x14ac:dyDescent="0.25">
      <c r="A21" s="24" t="s">
        <v>28</v>
      </c>
      <c r="B21" s="238"/>
      <c r="C21" s="32" t="s">
        <v>1937</v>
      </c>
      <c r="D21" s="24" t="s">
        <v>1325</v>
      </c>
      <c r="E21" s="35" t="s">
        <v>708</v>
      </c>
      <c r="F21" s="35"/>
      <c r="G21" s="27" t="s">
        <v>1201</v>
      </c>
      <c r="H21" s="27"/>
      <c r="I21" s="98">
        <v>980451470</v>
      </c>
      <c r="J21" s="24" t="s">
        <v>28</v>
      </c>
      <c r="K21" s="24" t="s">
        <v>28</v>
      </c>
      <c r="L21" s="35">
        <v>45121</v>
      </c>
      <c r="M21" s="35"/>
      <c r="N21" s="99" t="s">
        <v>1118</v>
      </c>
      <c r="O21" s="35" t="s">
        <v>1938</v>
      </c>
      <c r="P21" s="35" t="s">
        <v>1939</v>
      </c>
      <c r="Q21" s="35" t="s">
        <v>1535</v>
      </c>
      <c r="R21" s="24" t="s">
        <v>28</v>
      </c>
      <c r="S21" s="35" t="s">
        <v>1940</v>
      </c>
      <c r="T21" s="35" t="s">
        <v>1941</v>
      </c>
      <c r="U21" s="101">
        <v>45133</v>
      </c>
      <c r="V21" s="667" t="s">
        <v>1942</v>
      </c>
      <c r="W21" s="668"/>
      <c r="X21" s="668"/>
      <c r="Y21" s="668"/>
      <c r="Z21" s="668"/>
      <c r="AA21" s="668"/>
      <c r="AB21" s="668"/>
      <c r="AC21" s="668"/>
      <c r="AD21" s="669"/>
    </row>
  </sheetData>
  <mergeCells count="9">
    <mergeCell ref="V7:AC7"/>
    <mergeCell ref="V9:AC9"/>
    <mergeCell ref="V12:AC12"/>
    <mergeCell ref="V21:AD21"/>
    <mergeCell ref="U2:V2"/>
    <mergeCell ref="V3:AC3"/>
    <mergeCell ref="W4:AC4"/>
    <mergeCell ref="W5:AC5"/>
    <mergeCell ref="W6:AC6"/>
  </mergeCells>
  <pageMargins left="0.7" right="0.7" top="0.75" bottom="0.75" header="0.3" footer="0.3"/>
  <pageSetup paperSize="9" scale="21" orientation="landscape" r:id="rId1"/>
  <colBreaks count="1" manualBreakCount="1">
    <brk id="32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U69"/>
  <sheetViews>
    <sheetView zoomScale="70" zoomScaleNormal="70" workbookViewId="0">
      <selection activeCell="J25" sqref="J25"/>
    </sheetView>
  </sheetViews>
  <sheetFormatPr defaultRowHeight="15" x14ac:dyDescent="0.25"/>
  <cols>
    <col min="2" max="2" width="41.5703125" customWidth="1"/>
    <col min="3" max="3" width="26" customWidth="1"/>
    <col min="4" max="4" width="27" customWidth="1"/>
    <col min="5" max="5" width="28.140625" customWidth="1"/>
    <col min="6" max="6" width="30.28515625" customWidth="1"/>
    <col min="7" max="7" width="30.140625" customWidth="1"/>
    <col min="8" max="8" width="31.5703125" customWidth="1"/>
    <col min="9" max="12" width="27.42578125" customWidth="1"/>
    <col min="13" max="13" width="42.28515625" customWidth="1"/>
    <col min="14" max="18" width="25.42578125" customWidth="1"/>
    <col min="19" max="20" width="24.85546875" customWidth="1"/>
  </cols>
  <sheetData>
    <row r="2" spans="2:20" ht="39" customHeight="1" x14ac:dyDescent="0.25">
      <c r="B2" s="676" t="s">
        <v>2415</v>
      </c>
      <c r="C2" s="676"/>
      <c r="D2" s="676"/>
      <c r="E2" s="676"/>
      <c r="F2" s="676"/>
    </row>
    <row r="3" spans="2:20" ht="33" customHeight="1" x14ac:dyDescent="0.25">
      <c r="B3" s="20"/>
      <c r="M3" s="675" t="s">
        <v>1787</v>
      </c>
      <c r="N3" s="675"/>
      <c r="O3" s="675"/>
    </row>
    <row r="4" spans="2:20" ht="46.5" x14ac:dyDescent="0.25">
      <c r="B4" s="151" t="s">
        <v>1188</v>
      </c>
      <c r="C4" s="152" t="s">
        <v>159</v>
      </c>
      <c r="D4" s="152" t="s">
        <v>1462</v>
      </c>
      <c r="E4" s="152" t="s">
        <v>1463</v>
      </c>
      <c r="F4" s="152" t="s">
        <v>1464</v>
      </c>
      <c r="M4" s="151" t="s">
        <v>1188</v>
      </c>
      <c r="N4" s="152" t="s">
        <v>159</v>
      </c>
      <c r="O4" s="152" t="s">
        <v>1462</v>
      </c>
      <c r="P4" s="152" t="s">
        <v>1463</v>
      </c>
      <c r="Q4" s="152" t="s">
        <v>1464</v>
      </c>
    </row>
    <row r="5" spans="2:20" ht="20.25" x14ac:dyDescent="0.25">
      <c r="B5" s="191" t="s">
        <v>1149</v>
      </c>
      <c r="C5" s="150">
        <f>Действующие!C70</f>
        <v>2</v>
      </c>
      <c r="D5" s="150">
        <f>Действующие!D70</f>
        <v>22006871432</v>
      </c>
      <c r="E5" s="150">
        <f>Действующие!E70</f>
        <v>100781.58</v>
      </c>
      <c r="F5" s="150">
        <f>Действующие!F70</f>
        <v>950</v>
      </c>
      <c r="M5" s="191" t="s">
        <v>1149</v>
      </c>
      <c r="N5" s="150">
        <f t="shared" ref="N5:Q7" si="0">C5</f>
        <v>2</v>
      </c>
      <c r="O5" s="150">
        <f t="shared" si="0"/>
        <v>22006871432</v>
      </c>
      <c r="P5" s="150">
        <f t="shared" si="0"/>
        <v>100781.58</v>
      </c>
      <c r="Q5" s="150">
        <f t="shared" si="0"/>
        <v>950</v>
      </c>
    </row>
    <row r="6" spans="2:20" ht="20.25" x14ac:dyDescent="0.25">
      <c r="B6" s="191" t="s">
        <v>1150</v>
      </c>
      <c r="C6" s="150">
        <f>Действующие!C71</f>
        <v>3</v>
      </c>
      <c r="D6" s="150">
        <f>Действующие!D71</f>
        <v>9948161748</v>
      </c>
      <c r="E6" s="150">
        <f>Действующие!E71</f>
        <v>51188.829999999994</v>
      </c>
      <c r="F6" s="150">
        <f>Действующие!F71</f>
        <v>455</v>
      </c>
      <c r="M6" s="191" t="s">
        <v>1150</v>
      </c>
      <c r="N6" s="150">
        <f t="shared" si="0"/>
        <v>3</v>
      </c>
      <c r="O6" s="150">
        <f t="shared" si="0"/>
        <v>9948161748</v>
      </c>
      <c r="P6" s="150">
        <f t="shared" si="0"/>
        <v>51188.829999999994</v>
      </c>
      <c r="Q6" s="150">
        <f t="shared" si="0"/>
        <v>455</v>
      </c>
    </row>
    <row r="7" spans="2:20" ht="20.25" x14ac:dyDescent="0.25">
      <c r="B7" s="191" t="s">
        <v>1289</v>
      </c>
      <c r="C7" s="150">
        <f>Действующие!C72</f>
        <v>17</v>
      </c>
      <c r="D7" s="150">
        <f>Действующие!D72</f>
        <v>87536010629.473099</v>
      </c>
      <c r="E7" s="150">
        <f>Действующие!E72</f>
        <v>343001.63</v>
      </c>
      <c r="F7" s="150">
        <f>Действующие!F72</f>
        <v>3637</v>
      </c>
      <c r="H7" s="141"/>
      <c r="M7" s="191" t="s">
        <v>1289</v>
      </c>
      <c r="N7" s="150">
        <f t="shared" si="0"/>
        <v>17</v>
      </c>
      <c r="O7" s="150">
        <f t="shared" si="0"/>
        <v>87536010629.473099</v>
      </c>
      <c r="P7" s="150">
        <f t="shared" si="0"/>
        <v>343001.63</v>
      </c>
      <c r="Q7" s="150">
        <f t="shared" si="0"/>
        <v>3637</v>
      </c>
    </row>
    <row r="8" spans="2:20" ht="20.25" x14ac:dyDescent="0.25">
      <c r="B8" s="191" t="s">
        <v>1679</v>
      </c>
      <c r="C8" s="150">
        <f>Действующие!C73</f>
        <v>25</v>
      </c>
      <c r="D8" s="150">
        <f>Действующие!D73</f>
        <v>132096124126</v>
      </c>
      <c r="E8" s="150">
        <f>Действующие!E73</f>
        <v>513169.43999999994</v>
      </c>
      <c r="F8" s="150">
        <f>Действующие!F73</f>
        <v>5219</v>
      </c>
      <c r="L8" s="141" t="s">
        <v>1788</v>
      </c>
      <c r="M8" s="191" t="s">
        <v>1679</v>
      </c>
      <c r="N8" s="150">
        <f>15+3+1</f>
        <v>19</v>
      </c>
      <c r="O8" s="150">
        <f>D8</f>
        <v>132096124126</v>
      </c>
      <c r="P8" s="150">
        <f>E8</f>
        <v>513169.43999999994</v>
      </c>
      <c r="Q8" s="150">
        <f>F8</f>
        <v>5219</v>
      </c>
    </row>
    <row r="9" spans="2:20" ht="20.25" x14ac:dyDescent="0.25">
      <c r="B9" s="109" t="s">
        <v>18</v>
      </c>
      <c r="C9" s="69">
        <f>SUM(C5:C8)</f>
        <v>47</v>
      </c>
      <c r="D9" s="69">
        <f>SUM(D5:D8)</f>
        <v>251587167935.47308</v>
      </c>
      <c r="E9" s="69">
        <f>SUM(E5:E8)</f>
        <v>1008141.48</v>
      </c>
      <c r="F9" s="69">
        <f>SUM(F5:F8)</f>
        <v>10261</v>
      </c>
      <c r="M9" s="109" t="s">
        <v>18</v>
      </c>
      <c r="N9" s="69">
        <f>SUM(N5:N8)</f>
        <v>41</v>
      </c>
      <c r="O9" s="69">
        <f>SUM(O5:O8)</f>
        <v>251587167935.47308</v>
      </c>
      <c r="P9" s="69">
        <f>SUM(P5:P8)</f>
        <v>1008141.48</v>
      </c>
      <c r="Q9" s="69">
        <f>SUM(Q5:Q8)</f>
        <v>10261</v>
      </c>
    </row>
    <row r="13" spans="2:20" ht="81" x14ac:dyDescent="0.25">
      <c r="B13" s="151" t="s">
        <v>1597</v>
      </c>
      <c r="C13" s="152" t="s">
        <v>159</v>
      </c>
      <c r="D13" s="152" t="s">
        <v>1462</v>
      </c>
      <c r="E13" s="152" t="s">
        <v>1463</v>
      </c>
      <c r="F13" s="152" t="s">
        <v>2015</v>
      </c>
      <c r="G13" s="152" t="s">
        <v>2019</v>
      </c>
      <c r="H13" s="152" t="s">
        <v>1598</v>
      </c>
      <c r="I13" s="152" t="s">
        <v>2018</v>
      </c>
      <c r="M13" s="151" t="s">
        <v>1597</v>
      </c>
      <c r="N13" s="152" t="s">
        <v>159</v>
      </c>
      <c r="O13" s="152" t="s">
        <v>1462</v>
      </c>
      <c r="P13" s="152" t="s">
        <v>1684</v>
      </c>
      <c r="Q13" s="152" t="s">
        <v>1747</v>
      </c>
      <c r="R13" s="152" t="s">
        <v>1614</v>
      </c>
      <c r="S13" s="152" t="s">
        <v>1598</v>
      </c>
      <c r="T13" s="152" t="s">
        <v>1685</v>
      </c>
    </row>
    <row r="14" spans="2:20" ht="20.25" x14ac:dyDescent="0.25">
      <c r="B14" s="191" t="s">
        <v>1153</v>
      </c>
      <c r="C14" s="150">
        <f>Завершенные!C226</f>
        <v>2</v>
      </c>
      <c r="D14" s="150">
        <f>Завершенные!D226</f>
        <v>9383792080</v>
      </c>
      <c r="E14" s="150">
        <f>Завершенные!E226</f>
        <v>49371.3</v>
      </c>
      <c r="F14" s="150">
        <f>Завершенные!J4+Завершенные!J5</f>
        <v>49371.3</v>
      </c>
      <c r="G14" s="150">
        <f>Завершенные!F226</f>
        <v>578</v>
      </c>
      <c r="H14" s="150">
        <f>Завершенные!G226</f>
        <v>574</v>
      </c>
      <c r="I14" s="150">
        <f>Завершенные!Q4+Завершенные!Q5</f>
        <v>574</v>
      </c>
      <c r="M14" s="191" t="s">
        <v>1153</v>
      </c>
      <c r="N14" s="150">
        <f t="shared" ref="N14:T17" si="1">C14</f>
        <v>2</v>
      </c>
      <c r="O14" s="150">
        <f t="shared" si="1"/>
        <v>9383792080</v>
      </c>
      <c r="P14" s="150">
        <f t="shared" si="1"/>
        <v>49371.3</v>
      </c>
      <c r="Q14" s="150">
        <f t="shared" si="1"/>
        <v>49371.3</v>
      </c>
      <c r="R14" s="150">
        <f t="shared" si="1"/>
        <v>578</v>
      </c>
      <c r="S14" s="150">
        <f t="shared" si="1"/>
        <v>574</v>
      </c>
      <c r="T14" s="150">
        <f t="shared" si="1"/>
        <v>574</v>
      </c>
    </row>
    <row r="15" spans="2:20" ht="20.25" x14ac:dyDescent="0.25">
      <c r="B15" s="191" t="s">
        <v>1154</v>
      </c>
      <c r="C15" s="150">
        <f>Завершенные!C227</f>
        <v>16</v>
      </c>
      <c r="D15" s="150">
        <f>Завершенные!D227</f>
        <v>56621715974</v>
      </c>
      <c r="E15" s="150">
        <f>Завершенные!E227</f>
        <v>358067.79999999993</v>
      </c>
      <c r="F15" s="150">
        <f>Завершенные!J6+Завершенные!J7+Завершенные!J8+Завершенные!J9+Завершенные!J10+Завершенные!J11+Завершенные!J12+Завершенные!J13+Завершенные!J14+Завершенные!J15+Завершенные!J16+Завершенные!J17+Завершенные!J18+Завершенные!J19+Завершенные!J20+Завершенные!J21</f>
        <v>358067.79999999993</v>
      </c>
      <c r="G15" s="150">
        <f>Завершенные!F227</f>
        <v>4378</v>
      </c>
      <c r="H15" s="150">
        <f>Завершенные!G227</f>
        <v>4713</v>
      </c>
      <c r="I15" s="150">
        <f>SUM(Завершенные!Q6:Q21)</f>
        <v>4713</v>
      </c>
      <c r="M15" s="191" t="s">
        <v>1154</v>
      </c>
      <c r="N15" s="150">
        <f t="shared" si="1"/>
        <v>16</v>
      </c>
      <c r="O15" s="150">
        <f t="shared" si="1"/>
        <v>56621715974</v>
      </c>
      <c r="P15" s="150">
        <f t="shared" si="1"/>
        <v>358067.79999999993</v>
      </c>
      <c r="Q15" s="150">
        <f t="shared" si="1"/>
        <v>358067.79999999993</v>
      </c>
      <c r="R15" s="150">
        <f t="shared" si="1"/>
        <v>4378</v>
      </c>
      <c r="S15" s="150">
        <f t="shared" si="1"/>
        <v>4713</v>
      </c>
      <c r="T15" s="150">
        <f t="shared" si="1"/>
        <v>4713</v>
      </c>
    </row>
    <row r="16" spans="2:20" ht="20.25" x14ac:dyDescent="0.25">
      <c r="B16" s="191" t="s">
        <v>1155</v>
      </c>
      <c r="C16" s="150">
        <f>Завершенные!C228</f>
        <v>24</v>
      </c>
      <c r="D16" s="150">
        <f>Завершенные!D228</f>
        <v>90883205479</v>
      </c>
      <c r="E16" s="150">
        <f>Завершенные!E228</f>
        <v>530593.09</v>
      </c>
      <c r="F16" s="150">
        <f>Завершенные!J22+Завершенные!J23+Завершенные!J24+Завершенные!J25+Завершенные!J26+Завершенные!J27+Завершенные!J28+Завершенные!J29+Завершенные!J30+Завершенные!J31+Завершенные!J32+Завершенные!J33+Завершенные!J34+Завершенные!J35+Завершенные!J36+Завершенные!J37+Завершенные!J39+Завершенные!J40+Завершенные!J41+Завершенные!J42+Завершенные!J43+Завершенные!J44+Завершенные!J46+Завершенные!J47</f>
        <v>530593.09</v>
      </c>
      <c r="G16" s="150">
        <f>Завершенные!F228</f>
        <v>6067</v>
      </c>
      <c r="H16" s="150">
        <f>Завершенные!G228</f>
        <v>6145</v>
      </c>
      <c r="I16" s="150">
        <f>SUM(Завершенные!Q22:Q47)</f>
        <v>6145</v>
      </c>
      <c r="M16" s="191" t="s">
        <v>1155</v>
      </c>
      <c r="N16" s="150">
        <f t="shared" si="1"/>
        <v>24</v>
      </c>
      <c r="O16" s="150">
        <f t="shared" si="1"/>
        <v>90883205479</v>
      </c>
      <c r="P16" s="150">
        <f t="shared" si="1"/>
        <v>530593.09</v>
      </c>
      <c r="Q16" s="150">
        <f t="shared" si="1"/>
        <v>530593.09</v>
      </c>
      <c r="R16" s="150">
        <f t="shared" si="1"/>
        <v>6067</v>
      </c>
      <c r="S16" s="150">
        <f t="shared" si="1"/>
        <v>6145</v>
      </c>
      <c r="T16" s="150">
        <f t="shared" si="1"/>
        <v>6145</v>
      </c>
    </row>
    <row r="17" spans="2:20" ht="20.25" x14ac:dyDescent="0.25">
      <c r="B17" s="191" t="s">
        <v>1148</v>
      </c>
      <c r="C17" s="150">
        <f>Завершенные!C229</f>
        <v>27</v>
      </c>
      <c r="D17" s="150">
        <f>Завершенные!D229</f>
        <v>112169197898</v>
      </c>
      <c r="E17" s="150">
        <f>Завершенные!E229</f>
        <v>705461.04999999993</v>
      </c>
      <c r="F17" s="150">
        <f>Завершенные!J48+Завершенные!J49+Завершенные!J50+Завершенные!J51+Завершенные!J52+Завершенные!J38+Завершенные!J53+Завершенные!J54+Завершенные!J55+Завершенные!J56+Завершенные!J57+Завершенные!J59+Завершенные!J60+Завершенные!J61+Завершенные!J62+Завершенные!J63+Завершенные!J64+Завершенные!J65+Завершенные!J67+Завершенные!J68+Завершенные!J69+Завершенные!J70+Завершенные!J71+Завершенные!J72+Завершенные!J73+Завершенные!J74+Завершенные!J121+Завершенные!J159</f>
        <v>705461.04999999993</v>
      </c>
      <c r="G17" s="150">
        <f>Завершенные!F229</f>
        <v>8425</v>
      </c>
      <c r="H17" s="150">
        <f>Завершенные!G229</f>
        <v>8828</v>
      </c>
      <c r="I17" s="150">
        <f>Завершенные!Q48+Завершенные!Q49+Завершенные!Q50+Завершенные!Q51+Завершенные!Q52+Завершенные!Q53+Завершенные!Q54+Завершенные!Q55+Завершенные!Q56+Завершенные!Q57+Завершенные!Q59+Завершенные!Q60+Завершенные!Q61+Завершенные!Q62+Завершенные!Q63+Завершенные!Q64+Завершенные!Q65+Завершенные!Q67+Завершенные!Q68+Завершенные!Q69+Завершенные!Q70+Завершенные!Q71+Завершенные!Q72+Завершенные!Q73+Завершенные!Q74+Завершенные!Q121+Завершенные!Q159</f>
        <v>8828</v>
      </c>
      <c r="M17" s="191" t="s">
        <v>1148</v>
      </c>
      <c r="N17" s="150">
        <f t="shared" si="1"/>
        <v>27</v>
      </c>
      <c r="O17" s="150">
        <f t="shared" si="1"/>
        <v>112169197898</v>
      </c>
      <c r="P17" s="150">
        <f t="shared" si="1"/>
        <v>705461.04999999993</v>
      </c>
      <c r="Q17" s="150">
        <f t="shared" si="1"/>
        <v>705461.04999999993</v>
      </c>
      <c r="R17" s="150">
        <f t="shared" si="1"/>
        <v>8425</v>
      </c>
      <c r="S17" s="150">
        <f t="shared" si="1"/>
        <v>8828</v>
      </c>
      <c r="T17" s="150">
        <f t="shared" si="1"/>
        <v>8828</v>
      </c>
    </row>
    <row r="18" spans="2:20" ht="20.25" x14ac:dyDescent="0.25">
      <c r="B18" s="191" t="s">
        <v>1149</v>
      </c>
      <c r="C18" s="150">
        <f>Завершенные!C230</f>
        <v>69</v>
      </c>
      <c r="D18" s="150">
        <f>Завершенные!D230</f>
        <v>353425107689</v>
      </c>
      <c r="E18" s="150">
        <f>Завершенные!E230</f>
        <v>1893325.4399999997</v>
      </c>
      <c r="F18" s="150">
        <f>Завершенные!J75+Завершенные!J76+Завершенные!J77+Завершенные!J78+Завершенные!J79+Завершенные!J80+Завершенные!J81+Завершенные!J82+Завершенные!J83+Завершенные!J84+Завершенные!J85+Завершенные!J86+Завершенные!J87+Завершенные!J88+Завершенные!J89+Завершенные!J90+Завершенные!J91+Завершенные!J92+Завершенные!J118+Завершенные!J93+Завершенные!J94+Завершенные!J95+Завершенные!J96+Завершенные!J97+Завершенные!J98+Завершенные!J99+Завершенные!J100+Завершенные!J101+Завершенные!J102+Завершенные!J103+Завершенные!J104+Завершенные!J105+Завершенные!J106+Завершенные!J107+Завершенные!J111+Завершенные!J114+Завершенные!J115+Завершенные!J116+Завершенные!J117+Завершенные!J119+Завершенные!J120+Завершенные!J122+Завершенные!J123+Завершенные!J124+Завершенные!J125+Завершенные!J126+Завершенные!J128+Завершенные!J129+Завершенные!J131+Завершенные!J133+Завершенные!J135+Завершенные!J138+Завершенные!J139+Завершенные!J140+Завершенные!J141+Завершенные!J145+Завершенные!J146+Завершенные!J149+Завершенные!J151+Завершенные!J152+Завершенные!J153+Завершенные!J154+Завершенные!J155+Завершенные!J156+Завершенные!J157+Завершенные!J158+Завершенные!J162+Завершенные!J164+Завершенные!J176+Завершенные!J178+Завершенные!J180+Завершенные!J181+Завершенные!J182+Завершенные!J186</f>
        <v>1855521.4399999997</v>
      </c>
      <c r="G18" s="150">
        <f>Завершенные!F230</f>
        <v>20284</v>
      </c>
      <c r="H18" s="150">
        <f>Завершенные!G230</f>
        <v>20763</v>
      </c>
      <c r="I18" s="150">
        <f>Завершенные!Q176+Завершенные!Q164+Завершенные!Q162+Завершенные!Q158+Завершенные!Q157+Завершенные!Q156+Завершенные!Q155+Завершенные!Q154+Завершенные!Q153+Завершенные!Q152+Завершенные!Q151+Завершенные!Q149+Завершенные!Q146+Завершенные!Q145+Завершенные!Q141+Завершенные!Q140+Завершенные!Q139+Завершенные!Q138+Завершенные!Q135+Завершенные!Q133+Завершенные!Q131+Завершенные!Q129+Завершенные!Q128+Завершенные!Q126+Завершенные!Q125+Завершенные!Q124+Завершенные!Q123+Завершенные!Q122+Завершенные!Q120+Завершенные!Q119+Завершенные!Q117+Завершенные!Q116+Завершенные!Q115+Завершенные!Q114+Завершенные!Q111+Завершенные!Q107+Завершенные!Q106+Завершенные!Q105+Завершенные!Q104+Завершенные!Q103+Завершенные!Q102+Завершенные!Q101+Завершенные!Q100+Завершенные!Q99+Завершенные!Q98+Завершенные!Q97+Завершенные!Q96+Завершенные!Q95+Завершенные!Q94+Завершенные!Q93+Завершенные!Q118+Завершенные!Q92+Завершенные!Q91+Завершенные!Q90+Завершенные!Q89+Завершенные!Q88+Завершенные!Q87+Завершенные!Q86+Завершенные!Q85+Завершенные!Q84+Завершенные!Q83+Завершенные!Q82+Завершенные!Q81+Завершенные!Q80+Завершенные!Q79+Завершенные!Q78+Завершенные!Q77+Завершенные!Q76+Завершенные!Q75+Завершенные!Q178+Завершенные!Q180+Завершенные!Q181+Завершенные!Q182+Завершенные!Q186</f>
        <v>20385</v>
      </c>
      <c r="L18" t="s">
        <v>1786</v>
      </c>
      <c r="M18" s="191" t="s">
        <v>1149</v>
      </c>
      <c r="N18" s="150">
        <f>70</f>
        <v>70</v>
      </c>
      <c r="O18" s="150">
        <f t="shared" ref="O18:T21" si="2">D18</f>
        <v>353425107689</v>
      </c>
      <c r="P18" s="150">
        <f t="shared" si="2"/>
        <v>1893325.4399999997</v>
      </c>
      <c r="Q18" s="150">
        <f t="shared" si="2"/>
        <v>1855521.4399999997</v>
      </c>
      <c r="R18" s="150">
        <f t="shared" si="2"/>
        <v>20284</v>
      </c>
      <c r="S18" s="150">
        <f t="shared" si="2"/>
        <v>20763</v>
      </c>
      <c r="T18" s="150">
        <f t="shared" si="2"/>
        <v>20385</v>
      </c>
    </row>
    <row r="19" spans="2:20" ht="20.25" x14ac:dyDescent="0.25">
      <c r="B19" s="191" t="s">
        <v>1150</v>
      </c>
      <c r="C19" s="150">
        <f>Завершенные!C231</f>
        <v>31</v>
      </c>
      <c r="D19" s="150">
        <f>Завершенные!D231</f>
        <v>196154054444</v>
      </c>
      <c r="E19" s="150">
        <f>Завершенные!E231</f>
        <v>986337.46000000008</v>
      </c>
      <c r="F19" s="150">
        <f>Завершенные!J109+Завершенные!J110+Завершенные!J112+Завершенные!J113+Завершенные!J130+Завершенные!J134+Завершенные!J136+Завершенные!J137+Завершенные!J142+Завершенные!J143+Завершенные!J147+Завершенные!J148+Завершенные!J161+Завершенные!J163+Завершенные!J165+Завершенные!J166+Завершенные!J167+Завершенные!J168+Завершенные!J169+Завершенные!J170+Завершенные!J171+Завершенные!J172+Завершенные!J173+Завершенные!J174+Завершенные!J175+Завершенные!J183+Завершенные!J188+Завершенные!J189+Завершенные!J190</f>
        <v>788646.58000000007</v>
      </c>
      <c r="G19" s="150">
        <f>Завершенные!F231</f>
        <v>11074</v>
      </c>
      <c r="H19" s="150">
        <f>Завершенные!G231</f>
        <v>11229</v>
      </c>
      <c r="I19" s="150">
        <f>Завершенные!Q108+Завершенные!Q109+Завершенные!Q110+Завершенные!Q112+Завершенные!Q113+Завершенные!Q127+Завершенные!Q130+Завершенные!Q134+Завершенные!Q136+Завершенные!Q137+Завершенные!Q142+Завершенные!Q143+Завершенные!Q147+Завершенные!Q148+Завершенные!Q150+Завершенные!Q160+Завершенные!Q161+Завершенные!Q163+Завершенные!Q165+Завершенные!Q166+Завершенные!Q167+Завершенные!Q168+Завершенные!Q169+Завершенные!Q170+Завершенные!Q171+Завершенные!Q172+Завершенные!Q173+Завершенные!Q174+Завершенные!Q175+Завершенные!Q183+Завершенные!Q188+Завершенные!Q189+Завершенные!Q190</f>
        <v>9165</v>
      </c>
      <c r="J19" s="141"/>
      <c r="M19" s="191" t="s">
        <v>1150</v>
      </c>
      <c r="N19" s="150">
        <f>C19</f>
        <v>31</v>
      </c>
      <c r="O19" s="150">
        <f t="shared" si="2"/>
        <v>196154054444</v>
      </c>
      <c r="P19" s="150">
        <f t="shared" si="2"/>
        <v>986337.46000000008</v>
      </c>
      <c r="Q19" s="150">
        <f t="shared" si="2"/>
        <v>788646.58000000007</v>
      </c>
      <c r="R19" s="150">
        <f t="shared" si="2"/>
        <v>11074</v>
      </c>
      <c r="S19" s="150">
        <f t="shared" si="2"/>
        <v>11229</v>
      </c>
      <c r="T19" s="150">
        <f t="shared" si="2"/>
        <v>9165</v>
      </c>
    </row>
    <row r="20" spans="2:20" ht="20.25" x14ac:dyDescent="0.25">
      <c r="B20" s="191" t="s">
        <v>1289</v>
      </c>
      <c r="C20" s="150">
        <f>Завершенные!C232</f>
        <v>20</v>
      </c>
      <c r="D20" s="150">
        <f>Завершенные!D232</f>
        <v>70233975981</v>
      </c>
      <c r="E20" s="150">
        <f>Завершенные!E232</f>
        <v>250686.26</v>
      </c>
      <c r="F20" s="150">
        <f>Завершенные!J177+Завершенные!J179+Завершенные!J184+Завершенные!J185</f>
        <v>42592.200000000004</v>
      </c>
      <c r="G20" s="150">
        <f>Завершенные!F232</f>
        <v>2942</v>
      </c>
      <c r="H20" s="150">
        <f>Завершенные!G232</f>
        <v>3003</v>
      </c>
      <c r="I20" s="150">
        <f>Завершенные!Q177+Завершенные!Q179+Завершенные!Q184+Завершенные!Q185</f>
        <v>338</v>
      </c>
      <c r="M20" s="191" t="s">
        <v>1289</v>
      </c>
      <c r="N20" s="150">
        <f>C20</f>
        <v>20</v>
      </c>
      <c r="O20" s="150">
        <f t="shared" si="2"/>
        <v>70233975981</v>
      </c>
      <c r="P20" s="150">
        <f t="shared" si="2"/>
        <v>250686.26</v>
      </c>
      <c r="Q20" s="150">
        <f t="shared" si="2"/>
        <v>42592.200000000004</v>
      </c>
      <c r="R20" s="150">
        <f t="shared" si="2"/>
        <v>2942</v>
      </c>
      <c r="S20" s="150">
        <f t="shared" si="2"/>
        <v>3003</v>
      </c>
      <c r="T20" s="150">
        <f t="shared" si="2"/>
        <v>338</v>
      </c>
    </row>
    <row r="21" spans="2:20" ht="20.25" x14ac:dyDescent="0.25">
      <c r="B21" s="191" t="s">
        <v>1679</v>
      </c>
      <c r="C21" s="150">
        <f>Завершенные!C233</f>
        <v>1</v>
      </c>
      <c r="D21" s="150">
        <f>Завершенные!D233</f>
        <v>2899077545</v>
      </c>
      <c r="E21" s="150">
        <f>Завершенные!E233</f>
        <v>7217.35</v>
      </c>
      <c r="F21" s="150">
        <f>E21</f>
        <v>7217.35</v>
      </c>
      <c r="G21" s="150">
        <f>Завершенные!F233</f>
        <v>106</v>
      </c>
      <c r="H21" s="150">
        <f>Завершенные!G233</f>
        <v>106</v>
      </c>
      <c r="I21" s="150">
        <v>106</v>
      </c>
      <c r="M21" s="191" t="s">
        <v>1679</v>
      </c>
      <c r="N21" s="150">
        <f>C21</f>
        <v>1</v>
      </c>
      <c r="O21" s="150">
        <f t="shared" si="2"/>
        <v>2899077545</v>
      </c>
      <c r="P21" s="150">
        <f t="shared" si="2"/>
        <v>7217.35</v>
      </c>
      <c r="Q21" s="150">
        <f t="shared" si="2"/>
        <v>7217.35</v>
      </c>
      <c r="R21" s="150">
        <f t="shared" si="2"/>
        <v>106</v>
      </c>
      <c r="S21" s="150">
        <f t="shared" si="2"/>
        <v>106</v>
      </c>
      <c r="T21" s="150">
        <f t="shared" si="2"/>
        <v>106</v>
      </c>
    </row>
    <row r="22" spans="2:20" ht="20.25" x14ac:dyDescent="0.25">
      <c r="B22" s="109" t="s">
        <v>18</v>
      </c>
      <c r="C22" s="69">
        <f>SUM(C14:C21)</f>
        <v>190</v>
      </c>
      <c r="D22" s="69">
        <f t="shared" ref="D22:I22" si="3">SUM(D14:D21)</f>
        <v>891770127090</v>
      </c>
      <c r="E22" s="69">
        <f t="shared" si="3"/>
        <v>4781059.7499999991</v>
      </c>
      <c r="F22" s="69">
        <f t="shared" si="3"/>
        <v>4337470.8099999996</v>
      </c>
      <c r="G22" s="69">
        <f t="shared" si="3"/>
        <v>53854</v>
      </c>
      <c r="H22" s="69">
        <f t="shared" si="3"/>
        <v>55361</v>
      </c>
      <c r="I22" s="69">
        <f t="shared" si="3"/>
        <v>50254</v>
      </c>
      <c r="M22" s="109" t="s">
        <v>18</v>
      </c>
      <c r="N22" s="69">
        <f t="shared" ref="N22:T22" si="4">SUM(N14:N21)</f>
        <v>191</v>
      </c>
      <c r="O22" s="69">
        <f t="shared" si="4"/>
        <v>891770127090</v>
      </c>
      <c r="P22" s="69">
        <f t="shared" si="4"/>
        <v>4781059.7499999991</v>
      </c>
      <c r="Q22" s="69">
        <f t="shared" si="4"/>
        <v>4337470.8099999996</v>
      </c>
      <c r="R22" s="69">
        <f t="shared" si="4"/>
        <v>53854</v>
      </c>
      <c r="S22" s="69">
        <f t="shared" si="4"/>
        <v>55361</v>
      </c>
      <c r="T22" s="69">
        <f t="shared" si="4"/>
        <v>50254</v>
      </c>
    </row>
    <row r="23" spans="2:20" x14ac:dyDescent="0.25">
      <c r="I23" s="141"/>
    </row>
    <row r="25" spans="2:20" ht="59.25" customHeight="1" x14ac:dyDescent="0.25">
      <c r="G25" s="141"/>
      <c r="I25" s="141"/>
    </row>
    <row r="26" spans="2:20" ht="46.5" x14ac:dyDescent="0.25">
      <c r="B26" s="151" t="s">
        <v>183</v>
      </c>
      <c r="C26" s="152" t="s">
        <v>159</v>
      </c>
      <c r="D26" s="152" t="s">
        <v>1462</v>
      </c>
      <c r="E26" s="152" t="s">
        <v>1463</v>
      </c>
      <c r="F26" s="152" t="s">
        <v>1464</v>
      </c>
      <c r="L26" s="195"/>
      <c r="M26" s="151" t="s">
        <v>183</v>
      </c>
      <c r="N26" s="152" t="s">
        <v>159</v>
      </c>
      <c r="O26" s="152" t="s">
        <v>1462</v>
      </c>
      <c r="P26" s="152" t="s">
        <v>1463</v>
      </c>
      <c r="Q26" s="152" t="s">
        <v>1464</v>
      </c>
    </row>
    <row r="27" spans="2:20" ht="20.25" x14ac:dyDescent="0.25">
      <c r="B27" s="191" t="s">
        <v>1150</v>
      </c>
      <c r="C27" s="150">
        <v>2</v>
      </c>
      <c r="D27" s="150">
        <f>'Отказ и расторжение'!G61+'Отказ и расторжение'!G63</f>
        <v>5669915493</v>
      </c>
      <c r="E27" s="150">
        <f>'Отказ и расторжение'!H61+'Отказ и расторжение'!H63</f>
        <v>35681.22</v>
      </c>
      <c r="F27" s="150">
        <f>'Отказ и расторжение'!J61+'Отказ и расторжение'!J63</f>
        <v>413</v>
      </c>
      <c r="J27" s="195"/>
      <c r="K27" s="195"/>
      <c r="M27" s="191" t="s">
        <v>1150</v>
      </c>
      <c r="N27" s="150">
        <v>2</v>
      </c>
      <c r="O27" s="150">
        <f t="shared" ref="O27:Q28" si="5">D27</f>
        <v>5669915493</v>
      </c>
      <c r="P27" s="150">
        <f t="shared" si="5"/>
        <v>35681.22</v>
      </c>
      <c r="Q27" s="150">
        <f t="shared" si="5"/>
        <v>413</v>
      </c>
    </row>
    <row r="28" spans="2:20" ht="20.25" x14ac:dyDescent="0.25">
      <c r="B28" s="191" t="s">
        <v>1289</v>
      </c>
      <c r="C28" s="150">
        <v>4</v>
      </c>
      <c r="D28" s="150">
        <f>'Отказ и расторжение'!G60+'Отказ и расторжение'!G62+'Отказ и расторжение'!G64+'Отказ и расторжение'!G65</f>
        <v>9901509415</v>
      </c>
      <c r="E28" s="150">
        <f>'Отказ и расторжение'!H60+'Отказ и расторжение'!H62+'Отказ и расторжение'!H64+'Отказ и расторжение'!H65</f>
        <v>45043.24</v>
      </c>
      <c r="F28" s="150">
        <f>'Отказ и расторжение'!J60+'Отказ и расторжение'!J62+'Отказ и расторжение'!J64+'Отказ и расторжение'!J65</f>
        <v>545</v>
      </c>
      <c r="M28" s="191" t="s">
        <v>1289</v>
      </c>
      <c r="N28" s="150">
        <v>4</v>
      </c>
      <c r="O28" s="150">
        <f t="shared" si="5"/>
        <v>9901509415</v>
      </c>
      <c r="P28" s="150">
        <f t="shared" si="5"/>
        <v>45043.24</v>
      </c>
      <c r="Q28" s="150">
        <f t="shared" si="5"/>
        <v>545</v>
      </c>
    </row>
    <row r="29" spans="2:20" ht="20.25" x14ac:dyDescent="0.25">
      <c r="B29" s="109" t="s">
        <v>18</v>
      </c>
      <c r="C29" s="69">
        <f>SUM(C27:C28)</f>
        <v>6</v>
      </c>
      <c r="D29" s="69">
        <f>SUM(D27:D28)</f>
        <v>15571424908</v>
      </c>
      <c r="E29" s="69">
        <f>SUM(E27:E28)</f>
        <v>80724.459999999992</v>
      </c>
      <c r="F29" s="69">
        <f>SUM(F27:F28)</f>
        <v>958</v>
      </c>
      <c r="M29" s="109" t="s">
        <v>18</v>
      </c>
      <c r="N29" s="69">
        <f>SUM(N27:N28)</f>
        <v>6</v>
      </c>
      <c r="O29" s="69">
        <f>SUM(O27:O28)</f>
        <v>15571424908</v>
      </c>
      <c r="P29" s="69">
        <f>SUM(P27:P28)</f>
        <v>80724.459999999992</v>
      </c>
      <c r="Q29" s="69">
        <f>SUM(Q27:Q28)</f>
        <v>958</v>
      </c>
    </row>
    <row r="30" spans="2:20" x14ac:dyDescent="0.25">
      <c r="M30" t="s">
        <v>1697</v>
      </c>
    </row>
    <row r="32" spans="2:20" ht="61.5" customHeight="1" x14ac:dyDescent="0.25">
      <c r="L32" s="68"/>
    </row>
    <row r="33" spans="2:21" ht="222.75" x14ac:dyDescent="0.25">
      <c r="B33" s="153" t="s">
        <v>1600</v>
      </c>
      <c r="C33" s="152" t="s">
        <v>159</v>
      </c>
      <c r="D33" s="152" t="s">
        <v>1117</v>
      </c>
      <c r="E33" s="152" t="s">
        <v>2016</v>
      </c>
      <c r="F33" s="152" t="s">
        <v>2015</v>
      </c>
      <c r="G33" s="152" t="s">
        <v>1614</v>
      </c>
      <c r="H33" s="152" t="s">
        <v>2017</v>
      </c>
      <c r="I33" s="152" t="s">
        <v>1598</v>
      </c>
      <c r="J33" s="294" t="s">
        <v>2069</v>
      </c>
      <c r="K33" s="68"/>
      <c r="L33" s="72"/>
      <c r="M33" s="216" t="s">
        <v>1600</v>
      </c>
      <c r="N33" s="152" t="s">
        <v>159</v>
      </c>
      <c r="O33" s="152" t="s">
        <v>1117</v>
      </c>
      <c r="P33" s="152" t="s">
        <v>1601</v>
      </c>
      <c r="Q33" s="152" t="s">
        <v>1602</v>
      </c>
      <c r="R33" s="152" t="s">
        <v>1615</v>
      </c>
      <c r="S33" s="152" t="s">
        <v>1617</v>
      </c>
      <c r="T33" s="152" t="s">
        <v>1603</v>
      </c>
      <c r="U33" s="152" t="s">
        <v>1604</v>
      </c>
    </row>
    <row r="34" spans="2:21" ht="20.25" x14ac:dyDescent="0.25">
      <c r="B34" s="191" t="s">
        <v>1153</v>
      </c>
      <c r="C34" s="150">
        <f t="shared" ref="C34:E37" si="6">C14</f>
        <v>2</v>
      </c>
      <c r="D34" s="150">
        <f t="shared" si="6"/>
        <v>9383792080</v>
      </c>
      <c r="E34" s="150">
        <f t="shared" si="6"/>
        <v>49371.3</v>
      </c>
      <c r="F34" s="150">
        <f>E14</f>
        <v>49371.3</v>
      </c>
      <c r="G34" s="150">
        <f>G14</f>
        <v>578</v>
      </c>
      <c r="H34" s="150">
        <f>G14</f>
        <v>578</v>
      </c>
      <c r="I34" s="150">
        <f t="shared" ref="H34:I37" si="7">H14</f>
        <v>574</v>
      </c>
      <c r="J34" s="72"/>
      <c r="K34" s="72"/>
      <c r="L34" s="72"/>
      <c r="M34" s="217" t="s">
        <v>1153</v>
      </c>
      <c r="N34" s="150">
        <f t="shared" ref="N34:P37" si="8">N14</f>
        <v>2</v>
      </c>
      <c r="O34" s="150">
        <f t="shared" si="8"/>
        <v>9383792080</v>
      </c>
      <c r="P34" s="150">
        <f t="shared" si="8"/>
        <v>49371.3</v>
      </c>
      <c r="Q34" s="150">
        <f>P14</f>
        <v>49371.3</v>
      </c>
      <c r="R34" s="150">
        <f>R14</f>
        <v>578</v>
      </c>
      <c r="S34" s="150">
        <f t="shared" ref="S34:T37" si="9">R14</f>
        <v>578</v>
      </c>
      <c r="T34" s="150">
        <f t="shared" si="9"/>
        <v>574</v>
      </c>
      <c r="U34" s="150">
        <f>S14</f>
        <v>574</v>
      </c>
    </row>
    <row r="35" spans="2:21" ht="20.25" x14ac:dyDescent="0.25">
      <c r="B35" s="191" t="s">
        <v>1154</v>
      </c>
      <c r="C35" s="150">
        <f t="shared" si="6"/>
        <v>16</v>
      </c>
      <c r="D35" s="150">
        <f t="shared" si="6"/>
        <v>56621715974</v>
      </c>
      <c r="E35" s="150">
        <f t="shared" si="6"/>
        <v>358067.79999999993</v>
      </c>
      <c r="F35" s="150">
        <f>E15</f>
        <v>358067.79999999993</v>
      </c>
      <c r="G35" s="150">
        <f>G15</f>
        <v>4378</v>
      </c>
      <c r="H35" s="150">
        <f t="shared" si="7"/>
        <v>4378</v>
      </c>
      <c r="I35" s="150">
        <f t="shared" si="7"/>
        <v>4713</v>
      </c>
      <c r="J35" s="72"/>
      <c r="K35" s="72"/>
      <c r="L35" s="72"/>
      <c r="M35" s="217" t="s">
        <v>1154</v>
      </c>
      <c r="N35" s="150">
        <f t="shared" si="8"/>
        <v>16</v>
      </c>
      <c r="O35" s="150">
        <f t="shared" si="8"/>
        <v>56621715974</v>
      </c>
      <c r="P35" s="150">
        <f t="shared" si="8"/>
        <v>358067.79999999993</v>
      </c>
      <c r="Q35" s="150">
        <f>P15</f>
        <v>358067.79999999993</v>
      </c>
      <c r="R35" s="150">
        <f>R15</f>
        <v>4378</v>
      </c>
      <c r="S35" s="150">
        <f t="shared" si="9"/>
        <v>4378</v>
      </c>
      <c r="T35" s="150">
        <f t="shared" si="9"/>
        <v>4713</v>
      </c>
      <c r="U35" s="150">
        <f>S15</f>
        <v>4713</v>
      </c>
    </row>
    <row r="36" spans="2:21" ht="20.25" customHeight="1" x14ac:dyDescent="0.25">
      <c r="B36" s="191" t="s">
        <v>1155</v>
      </c>
      <c r="C36" s="150">
        <f t="shared" si="6"/>
        <v>24</v>
      </c>
      <c r="D36" s="150">
        <f t="shared" si="6"/>
        <v>90883205479</v>
      </c>
      <c r="E36" s="150">
        <f t="shared" si="6"/>
        <v>530593.09</v>
      </c>
      <c r="F36" s="150">
        <f>E16</f>
        <v>530593.09</v>
      </c>
      <c r="G36" s="150">
        <f>G16</f>
        <v>6067</v>
      </c>
      <c r="H36" s="150">
        <f t="shared" si="7"/>
        <v>6067</v>
      </c>
      <c r="I36" s="150">
        <f t="shared" si="7"/>
        <v>6145</v>
      </c>
      <c r="J36" s="72"/>
      <c r="K36" s="72"/>
      <c r="L36" s="72"/>
      <c r="M36" s="217" t="s">
        <v>1155</v>
      </c>
      <c r="N36" s="150">
        <f t="shared" si="8"/>
        <v>24</v>
      </c>
      <c r="O36" s="150">
        <f t="shared" si="8"/>
        <v>90883205479</v>
      </c>
      <c r="P36" s="150">
        <f t="shared" si="8"/>
        <v>530593.09</v>
      </c>
      <c r="Q36" s="150">
        <f>P16</f>
        <v>530593.09</v>
      </c>
      <c r="R36" s="150">
        <f>R16</f>
        <v>6067</v>
      </c>
      <c r="S36" s="150">
        <f t="shared" si="9"/>
        <v>6067</v>
      </c>
      <c r="T36" s="150">
        <f t="shared" si="9"/>
        <v>6145</v>
      </c>
      <c r="U36" s="150">
        <f>S16</f>
        <v>6145</v>
      </c>
    </row>
    <row r="37" spans="2:21" ht="20.25" x14ac:dyDescent="0.25">
      <c r="B37" s="191" t="s">
        <v>1148</v>
      </c>
      <c r="C37" s="150">
        <f t="shared" si="6"/>
        <v>27</v>
      </c>
      <c r="D37" s="150">
        <f t="shared" si="6"/>
        <v>112169197898</v>
      </c>
      <c r="E37" s="150">
        <f t="shared" si="6"/>
        <v>705461.04999999993</v>
      </c>
      <c r="F37" s="150">
        <f>E17</f>
        <v>705461.04999999993</v>
      </c>
      <c r="G37" s="150">
        <f>G17</f>
        <v>8425</v>
      </c>
      <c r="H37" s="150">
        <f t="shared" si="7"/>
        <v>8425</v>
      </c>
      <c r="I37" s="150">
        <f t="shared" si="7"/>
        <v>8828</v>
      </c>
      <c r="J37" s="72"/>
      <c r="K37" s="72"/>
      <c r="L37" s="72"/>
      <c r="M37" s="217" t="s">
        <v>1148</v>
      </c>
      <c r="N37" s="150">
        <f t="shared" si="8"/>
        <v>27</v>
      </c>
      <c r="O37" s="150">
        <f t="shared" si="8"/>
        <v>112169197898</v>
      </c>
      <c r="P37" s="150">
        <f t="shared" si="8"/>
        <v>705461.04999999993</v>
      </c>
      <c r="Q37" s="150">
        <f>P17</f>
        <v>705461.04999999993</v>
      </c>
      <c r="R37" s="150">
        <f>R17</f>
        <v>8425</v>
      </c>
      <c r="S37" s="150">
        <f t="shared" si="9"/>
        <v>8425</v>
      </c>
      <c r="T37" s="150">
        <f t="shared" si="9"/>
        <v>8828</v>
      </c>
      <c r="U37" s="150">
        <f>S17</f>
        <v>8828</v>
      </c>
    </row>
    <row r="38" spans="2:21" ht="20.25" customHeight="1" x14ac:dyDescent="0.25">
      <c r="B38" s="191" t="s">
        <v>1149</v>
      </c>
      <c r="C38" s="150">
        <f>C5+C18</f>
        <v>71</v>
      </c>
      <c r="D38" s="150">
        <f>D5+D18</f>
        <v>375431979121</v>
      </c>
      <c r="E38" s="150">
        <f>E5+E18</f>
        <v>1994107.0199999998</v>
      </c>
      <c r="F38" s="150">
        <f>E5+E18</f>
        <v>1994107.0199999998</v>
      </c>
      <c r="G38" s="150">
        <f>G18+F5</f>
        <v>21234</v>
      </c>
      <c r="H38" s="150">
        <f>G18+F5</f>
        <v>21234</v>
      </c>
      <c r="I38" s="150">
        <f>H18+F5</f>
        <v>21713</v>
      </c>
      <c r="J38" s="72"/>
      <c r="K38" s="72"/>
      <c r="L38" s="72"/>
      <c r="M38" s="217" t="s">
        <v>1149</v>
      </c>
      <c r="N38" s="150">
        <f>N5+N18</f>
        <v>72</v>
      </c>
      <c r="O38" s="150">
        <f>O5+O18</f>
        <v>375431979121</v>
      </c>
      <c r="P38" s="150">
        <f>P5+P18</f>
        <v>1994107.0199999998</v>
      </c>
      <c r="Q38" s="150">
        <f>P5+P18</f>
        <v>1994107.0199999998</v>
      </c>
      <c r="R38" s="150">
        <f>R18+Q5</f>
        <v>21234</v>
      </c>
      <c r="S38" s="150">
        <f>R18+Q5</f>
        <v>21234</v>
      </c>
      <c r="T38" s="150">
        <f>S18+Q5</f>
        <v>21713</v>
      </c>
      <c r="U38" s="150">
        <f>S18+Q5</f>
        <v>21713</v>
      </c>
    </row>
    <row r="39" spans="2:21" ht="20.25" x14ac:dyDescent="0.25">
      <c r="B39" s="191" t="s">
        <v>1150</v>
      </c>
      <c r="C39" s="150">
        <f>C19+C6+C27</f>
        <v>36</v>
      </c>
      <c r="D39" s="150">
        <f>D6+D19+D27</f>
        <v>211772131685</v>
      </c>
      <c r="E39" s="150">
        <f>E6+E19+E27</f>
        <v>1073207.51</v>
      </c>
      <c r="F39" s="150">
        <f>E6+E19+E27</f>
        <v>1073207.51</v>
      </c>
      <c r="G39" s="150">
        <f>G19+F6+F27</f>
        <v>11942</v>
      </c>
      <c r="H39" s="150">
        <f>G19+F6+F27</f>
        <v>11942</v>
      </c>
      <c r="I39" s="150">
        <f>H19+F6+F27</f>
        <v>12097</v>
      </c>
      <c r="J39" s="72"/>
      <c r="K39" s="266"/>
      <c r="L39" s="266"/>
      <c r="M39" s="217" t="s">
        <v>1150</v>
      </c>
      <c r="N39" s="150">
        <f>N19+N6+N27</f>
        <v>36</v>
      </c>
      <c r="O39" s="150">
        <f>O6+O19+O27</f>
        <v>211772131685</v>
      </c>
      <c r="P39" s="150">
        <f>P6+P19+P27</f>
        <v>1073207.51</v>
      </c>
      <c r="Q39" s="150">
        <f>P6+P19+P27</f>
        <v>1073207.51</v>
      </c>
      <c r="R39" s="150">
        <f>R19+Q6+Q27</f>
        <v>11942</v>
      </c>
      <c r="S39" s="150">
        <f>R19+Q6+Q27</f>
        <v>11942</v>
      </c>
      <c r="T39" s="150">
        <f>S19+Q6+Q27</f>
        <v>12097</v>
      </c>
      <c r="U39" s="150">
        <f>S19+Q6+Q27</f>
        <v>12097</v>
      </c>
    </row>
    <row r="40" spans="2:21" ht="20.25" x14ac:dyDescent="0.25">
      <c r="B40" s="191" t="s">
        <v>1289</v>
      </c>
      <c r="C40" s="150">
        <f>C7+C28+C20</f>
        <v>41</v>
      </c>
      <c r="D40" s="150">
        <f>D7+D28+D20</f>
        <v>167671496025.47308</v>
      </c>
      <c r="E40" s="150">
        <f>E7+E20+E28</f>
        <v>638731.13</v>
      </c>
      <c r="F40" s="150">
        <f>E7+E28+F20</f>
        <v>430637.07</v>
      </c>
      <c r="G40" s="150">
        <f>F7+G20+F28</f>
        <v>7124</v>
      </c>
      <c r="H40" s="150">
        <f>F7+F28+I20</f>
        <v>4520</v>
      </c>
      <c r="I40" s="150">
        <f>F7+F28+H20</f>
        <v>7185</v>
      </c>
      <c r="J40" s="266">
        <v>638742</v>
      </c>
      <c r="K40" s="266"/>
      <c r="L40" s="266"/>
      <c r="M40" s="217" t="s">
        <v>1289</v>
      </c>
      <c r="N40" s="150">
        <f>N7+N28+N20</f>
        <v>41</v>
      </c>
      <c r="O40" s="150">
        <f>O7+O28+O20</f>
        <v>167671496025.47308</v>
      </c>
      <c r="P40" s="150">
        <f>P7+P20+P28</f>
        <v>638731.13</v>
      </c>
      <c r="Q40" s="150">
        <f>P7+P28+Q20</f>
        <v>430637.07</v>
      </c>
      <c r="R40" s="150">
        <f>Q7+R20+Q28</f>
        <v>7124</v>
      </c>
      <c r="S40" s="150">
        <f>Q7+Q28+T20</f>
        <v>4520</v>
      </c>
      <c r="T40" s="150">
        <f>Q7+Q28+S20</f>
        <v>7185</v>
      </c>
      <c r="U40" s="150">
        <f>Q7+Q28+T20</f>
        <v>4520</v>
      </c>
    </row>
    <row r="41" spans="2:21" ht="20.25" x14ac:dyDescent="0.25">
      <c r="B41" s="191" t="s">
        <v>1679</v>
      </c>
      <c r="C41" s="150">
        <f>C8+C21</f>
        <v>26</v>
      </c>
      <c r="D41" s="150">
        <f>D8+D21</f>
        <v>134995201671</v>
      </c>
      <c r="E41" s="150">
        <f>E8+E21</f>
        <v>520386.78999999992</v>
      </c>
      <c r="F41" s="150">
        <f>E8+F21</f>
        <v>520386.78999999992</v>
      </c>
      <c r="G41" s="150">
        <f>F8+G21</f>
        <v>5325</v>
      </c>
      <c r="H41" s="150">
        <f>F8+I21</f>
        <v>5325</v>
      </c>
      <c r="I41" s="150">
        <f>F8+H21</f>
        <v>5325</v>
      </c>
      <c r="J41" s="266">
        <v>491956</v>
      </c>
      <c r="K41" s="266"/>
      <c r="L41" s="266"/>
      <c r="M41" s="217" t="s">
        <v>1679</v>
      </c>
      <c r="N41" s="150">
        <f>N8+N21</f>
        <v>20</v>
      </c>
      <c r="O41" s="150">
        <f>O8+O21</f>
        <v>134995201671</v>
      </c>
      <c r="P41" s="150">
        <f>P8+P21</f>
        <v>520386.78999999992</v>
      </c>
      <c r="Q41" s="150">
        <f>P8</f>
        <v>513169.43999999994</v>
      </c>
      <c r="R41" s="150">
        <f>Q8</f>
        <v>5219</v>
      </c>
      <c r="S41" s="150">
        <f>Q8</f>
        <v>5219</v>
      </c>
      <c r="T41" s="150">
        <f>Q8</f>
        <v>5219</v>
      </c>
      <c r="U41" s="150">
        <f>Q8</f>
        <v>5219</v>
      </c>
    </row>
    <row r="42" spans="2:21" ht="20.25" x14ac:dyDescent="0.25">
      <c r="B42" s="109" t="s">
        <v>18</v>
      </c>
      <c r="C42" s="69">
        <f t="shared" ref="C42:I42" si="10">SUM(C34:C41)</f>
        <v>243</v>
      </c>
      <c r="D42" s="69">
        <f t="shared" si="10"/>
        <v>1158928719933.4731</v>
      </c>
      <c r="E42" s="69">
        <f t="shared" si="10"/>
        <v>5869925.6899999995</v>
      </c>
      <c r="F42" s="69">
        <f t="shared" si="10"/>
        <v>5661831.6299999999</v>
      </c>
      <c r="G42" s="69">
        <f t="shared" si="10"/>
        <v>65073</v>
      </c>
      <c r="H42" s="69">
        <f t="shared" si="10"/>
        <v>62469</v>
      </c>
      <c r="I42" s="69">
        <f t="shared" si="10"/>
        <v>66580</v>
      </c>
      <c r="J42" s="72"/>
      <c r="K42" s="72"/>
      <c r="M42" s="218" t="s">
        <v>18</v>
      </c>
      <c r="N42" s="69">
        <f t="shared" ref="N42:U42" si="11">SUM(N34:N41)</f>
        <v>238</v>
      </c>
      <c r="O42" s="69">
        <f t="shared" si="11"/>
        <v>1158928719933.4731</v>
      </c>
      <c r="P42" s="69">
        <f t="shared" si="11"/>
        <v>5869925.6899999995</v>
      </c>
      <c r="Q42" s="69">
        <f t="shared" si="11"/>
        <v>5654614.2799999993</v>
      </c>
      <c r="R42" s="69">
        <f t="shared" si="11"/>
        <v>64967</v>
      </c>
      <c r="S42" s="69">
        <f t="shared" si="11"/>
        <v>62363</v>
      </c>
      <c r="T42" s="69">
        <f t="shared" si="11"/>
        <v>66474</v>
      </c>
      <c r="U42" s="69">
        <f t="shared" si="11"/>
        <v>63809</v>
      </c>
    </row>
    <row r="45" spans="2:21" ht="40.5" x14ac:dyDescent="0.3">
      <c r="B45" s="193" t="s">
        <v>170</v>
      </c>
      <c r="C45" s="194" t="s">
        <v>159</v>
      </c>
      <c r="D45" s="194" t="s">
        <v>171</v>
      </c>
      <c r="E45" s="194" t="s">
        <v>172</v>
      </c>
      <c r="F45" s="194" t="s">
        <v>1469</v>
      </c>
      <c r="G45" s="146"/>
      <c r="H45" s="141"/>
      <c r="I45" s="168"/>
    </row>
    <row r="46" spans="2:21" ht="19.5" x14ac:dyDescent="0.25">
      <c r="B46" s="169" t="s">
        <v>1179</v>
      </c>
      <c r="C46" s="170">
        <f>SUM(D46:F46)</f>
        <v>127</v>
      </c>
      <c r="D46" s="170">
        <f>Завершенные!C237</f>
        <v>104</v>
      </c>
      <c r="E46" s="170">
        <f>Действующие!C78</f>
        <v>22</v>
      </c>
      <c r="F46" s="170">
        <f>Действующие!F95</f>
        <v>1</v>
      </c>
    </row>
    <row r="47" spans="2:21" ht="19.5" x14ac:dyDescent="0.25">
      <c r="B47" s="171" t="s">
        <v>1605</v>
      </c>
      <c r="C47" s="172">
        <f t="shared" ref="C47:C52" si="12">SUM(D47:F47)</f>
        <v>648690104300.47314</v>
      </c>
      <c r="D47" s="172">
        <f>Завершенные!D237</f>
        <v>489865029079</v>
      </c>
      <c r="E47" s="172">
        <f>Действующие!D78</f>
        <v>156376192921.47308</v>
      </c>
      <c r="F47" s="172">
        <f>'Отказ и расторжение'!G61</f>
        <v>2448882300</v>
      </c>
      <c r="G47" s="141"/>
    </row>
    <row r="48" spans="2:21" ht="19.5" x14ac:dyDescent="0.25">
      <c r="B48" s="169" t="s">
        <v>23</v>
      </c>
      <c r="C48" s="170">
        <f>SUM(D48:F48)</f>
        <v>52</v>
      </c>
      <c r="D48" s="170">
        <f>Завершенные!C238</f>
        <v>49</v>
      </c>
      <c r="E48" s="170">
        <f>Действующие!C79</f>
        <v>3</v>
      </c>
      <c r="F48" s="170">
        <f>Действующие!F96</f>
        <v>0</v>
      </c>
    </row>
    <row r="49" spans="2:6" ht="19.5" x14ac:dyDescent="0.25">
      <c r="B49" s="171" t="s">
        <v>1605</v>
      </c>
      <c r="C49" s="172">
        <f t="shared" si="12"/>
        <v>289339149216</v>
      </c>
      <c r="D49" s="172">
        <f>Завершенные!D238</f>
        <v>267922917915</v>
      </c>
      <c r="E49" s="172">
        <f>Действующие!D79</f>
        <v>21416231301</v>
      </c>
      <c r="F49" s="172"/>
    </row>
    <row r="50" spans="2:6" ht="19.5" x14ac:dyDescent="0.25">
      <c r="B50" s="169" t="s">
        <v>173</v>
      </c>
      <c r="C50" s="170">
        <f t="shared" si="12"/>
        <v>12</v>
      </c>
      <c r="D50" s="170">
        <f>Завершенные!C239</f>
        <v>9</v>
      </c>
      <c r="E50" s="170">
        <f>Действующие!C80</f>
        <v>1</v>
      </c>
      <c r="F50" s="170">
        <f>Действующие!F97</f>
        <v>2</v>
      </c>
    </row>
    <row r="51" spans="2:6" ht="19.5" x14ac:dyDescent="0.25">
      <c r="B51" s="171" t="s">
        <v>1605</v>
      </c>
      <c r="C51" s="172">
        <f t="shared" si="12"/>
        <v>32707903496</v>
      </c>
      <c r="D51" s="172">
        <f>Завершенные!D239</f>
        <v>23824872919</v>
      </c>
      <c r="E51" s="172">
        <f>Действующие!D80</f>
        <v>4916104675</v>
      </c>
      <c r="F51" s="172">
        <f>'Отказ и расторжение'!G63+'Отказ и расторжение'!G65</f>
        <v>3966925902</v>
      </c>
    </row>
    <row r="52" spans="2:6" ht="19.5" x14ac:dyDescent="0.25">
      <c r="B52" s="169" t="s">
        <v>463</v>
      </c>
      <c r="C52" s="170">
        <f t="shared" si="12"/>
        <v>6</v>
      </c>
      <c r="D52" s="170">
        <f>Завершенные!C246</f>
        <v>1</v>
      </c>
      <c r="E52" s="170">
        <f>Действующие!C88</f>
        <v>5</v>
      </c>
      <c r="F52" s="170">
        <f>Действующие!F105</f>
        <v>0</v>
      </c>
    </row>
    <row r="53" spans="2:6" ht="19.5" x14ac:dyDescent="0.25">
      <c r="B53" s="171" t="s">
        <v>1605</v>
      </c>
      <c r="C53" s="172">
        <f t="shared" ref="C53:C67" si="13">SUM(D53:F53)</f>
        <v>10430024387</v>
      </c>
      <c r="D53" s="172">
        <f>Завершенные!D246</f>
        <v>1748059801</v>
      </c>
      <c r="E53" s="172">
        <f>Действующие!D88</f>
        <v>8681964586</v>
      </c>
      <c r="F53" s="172"/>
    </row>
    <row r="54" spans="2:6" ht="19.5" x14ac:dyDescent="0.25">
      <c r="B54" s="169" t="s">
        <v>174</v>
      </c>
      <c r="C54" s="170">
        <f t="shared" si="13"/>
        <v>23</v>
      </c>
      <c r="D54" s="170">
        <f>Завершенные!C241</f>
        <v>16</v>
      </c>
      <c r="E54" s="170">
        <f>Действующие!C81</f>
        <v>6</v>
      </c>
      <c r="F54" s="170">
        <f>Действующие!F98</f>
        <v>1</v>
      </c>
    </row>
    <row r="55" spans="2:6" ht="19.5" x14ac:dyDescent="0.25">
      <c r="B55" s="171" t="s">
        <v>1605</v>
      </c>
      <c r="C55" s="172">
        <f>SUM(D55:F55)</f>
        <v>107322512677</v>
      </c>
      <c r="D55" s="172">
        <f>Завершенные!D241</f>
        <v>69465437218</v>
      </c>
      <c r="E55" s="172">
        <f>Действующие!D81</f>
        <v>34243880085</v>
      </c>
      <c r="F55" s="172">
        <f>'Отказ и расторжение'!G60</f>
        <v>3613195374</v>
      </c>
    </row>
    <row r="56" spans="2:6" ht="19.5" x14ac:dyDescent="0.25">
      <c r="B56" s="169" t="s">
        <v>212</v>
      </c>
      <c r="C56" s="170">
        <f t="shared" si="13"/>
        <v>1</v>
      </c>
      <c r="D56" s="170">
        <f>Завершенные!C242</f>
        <v>1</v>
      </c>
      <c r="E56" s="170">
        <f>Действующие!C82</f>
        <v>0</v>
      </c>
      <c r="F56" s="170">
        <f>Действующие!F100</f>
        <v>0</v>
      </c>
    </row>
    <row r="57" spans="2:6" ht="19.5" x14ac:dyDescent="0.25">
      <c r="B57" s="171" t="s">
        <v>1605</v>
      </c>
      <c r="C57" s="172">
        <f t="shared" si="13"/>
        <v>3779124848</v>
      </c>
      <c r="D57" s="172">
        <f>Завершенные!D242</f>
        <v>3779124848</v>
      </c>
      <c r="E57" s="172">
        <f>Действующие!D82</f>
        <v>0</v>
      </c>
      <c r="F57" s="172"/>
    </row>
    <row r="58" spans="2:6" ht="19.5" x14ac:dyDescent="0.25">
      <c r="B58" s="169" t="s">
        <v>369</v>
      </c>
      <c r="C58" s="170">
        <f>SUM(D58:F58)</f>
        <v>3</v>
      </c>
      <c r="D58" s="170">
        <f>Завершенные!C243</f>
        <v>1</v>
      </c>
      <c r="E58" s="170">
        <f>Действующие!C85</f>
        <v>1</v>
      </c>
      <c r="F58" s="170">
        <f>Действующие!F101</f>
        <v>1</v>
      </c>
    </row>
    <row r="59" spans="2:6" ht="19.5" x14ac:dyDescent="0.25">
      <c r="B59" s="171" t="s">
        <v>1605</v>
      </c>
      <c r="C59" s="172">
        <f>SUM(D59:F59)</f>
        <v>16012134055</v>
      </c>
      <c r="D59" s="172">
        <f>Завершенные!D243</f>
        <v>6875823064</v>
      </c>
      <c r="E59" s="172">
        <f>Действующие!D85</f>
        <v>7324207552</v>
      </c>
      <c r="F59" s="172">
        <f>'Отказ и расторжение'!G62</f>
        <v>1812103439</v>
      </c>
    </row>
    <row r="60" spans="2:6" ht="19.5" x14ac:dyDescent="0.25">
      <c r="B60" s="169" t="s">
        <v>176</v>
      </c>
      <c r="C60" s="170">
        <f t="shared" si="13"/>
        <v>6</v>
      </c>
      <c r="D60" s="170">
        <f>Завершенные!C244</f>
        <v>5</v>
      </c>
      <c r="E60" s="170">
        <f>Действующие!C86</f>
        <v>1</v>
      </c>
      <c r="F60" s="170">
        <f>Действующие!F102</f>
        <v>0</v>
      </c>
    </row>
    <row r="61" spans="2:6" ht="19.5" x14ac:dyDescent="0.25">
      <c r="B61" s="171" t="s">
        <v>1605</v>
      </c>
      <c r="C61" s="172">
        <f t="shared" si="13"/>
        <v>21364548855</v>
      </c>
      <c r="D61" s="172">
        <f>Завершенные!D244</f>
        <v>17769123346</v>
      </c>
      <c r="E61" s="172">
        <f>Действующие!D86</f>
        <v>3595425509</v>
      </c>
      <c r="F61" s="172"/>
    </row>
    <row r="62" spans="2:6" ht="19.5" x14ac:dyDescent="0.25">
      <c r="B62" s="169" t="s">
        <v>452</v>
      </c>
      <c r="C62" s="170">
        <f t="shared" si="13"/>
        <v>5</v>
      </c>
      <c r="D62" s="170">
        <f>Завершенные!C245</f>
        <v>2</v>
      </c>
      <c r="E62" s="170">
        <f>Действующие!C87</f>
        <v>3</v>
      </c>
      <c r="F62" s="170">
        <f>Действующие!F103</f>
        <v>0</v>
      </c>
    </row>
    <row r="63" spans="2:6" ht="19.5" x14ac:dyDescent="0.25">
      <c r="B63" s="171" t="s">
        <v>1605</v>
      </c>
      <c r="C63" s="172">
        <f t="shared" si="13"/>
        <v>12676352767</v>
      </c>
      <c r="D63" s="172">
        <f>Завершенные!D245</f>
        <v>6615185630</v>
      </c>
      <c r="E63" s="172">
        <f>Действующие!D87</f>
        <v>6061167137</v>
      </c>
      <c r="F63" s="172"/>
    </row>
    <row r="64" spans="2:6" ht="19.5" x14ac:dyDescent="0.25">
      <c r="B64" s="169" t="s">
        <v>175</v>
      </c>
      <c r="C64" s="170">
        <f t="shared" si="13"/>
        <v>3</v>
      </c>
      <c r="D64" s="170">
        <f>Завершенные!C240</f>
        <v>2</v>
      </c>
      <c r="E64" s="170">
        <f>Действующие!C83</f>
        <v>1</v>
      </c>
      <c r="F64" s="170">
        <f>Действующие!F99</f>
        <v>0</v>
      </c>
    </row>
    <row r="65" spans="2:6" ht="19.5" x14ac:dyDescent="0.25">
      <c r="B65" s="171" t="s">
        <v>1605</v>
      </c>
      <c r="C65" s="172">
        <f t="shared" si="13"/>
        <v>5791276271</v>
      </c>
      <c r="D65" s="172">
        <f>Завершенные!D240</f>
        <v>3904553270</v>
      </c>
      <c r="E65" s="172">
        <f>Действующие!D83</f>
        <v>1886723001</v>
      </c>
      <c r="F65" s="172"/>
    </row>
    <row r="66" spans="2:6" ht="19.5" x14ac:dyDescent="0.25">
      <c r="B66" s="169" t="s">
        <v>1167</v>
      </c>
      <c r="C66" s="170">
        <f>SUM(D66:F66)</f>
        <v>5</v>
      </c>
      <c r="D66" s="170">
        <v>0</v>
      </c>
      <c r="E66" s="170">
        <f>Действующие!C84</f>
        <v>4</v>
      </c>
      <c r="F66" s="170">
        <f>Действующие!F106</f>
        <v>1</v>
      </c>
    </row>
    <row r="67" spans="2:6" ht="19.5" x14ac:dyDescent="0.25">
      <c r="B67" s="171" t="s">
        <v>1605</v>
      </c>
      <c r="C67" s="172">
        <f t="shared" si="13"/>
        <v>10815589061</v>
      </c>
      <c r="D67" s="172">
        <v>0</v>
      </c>
      <c r="E67" s="172">
        <f>Действующие!D84</f>
        <v>7085271168</v>
      </c>
      <c r="F67" s="172">
        <f>'Отказ и расторжение'!G64</f>
        <v>3730317893</v>
      </c>
    </row>
    <row r="68" spans="2:6" ht="20.25" x14ac:dyDescent="0.25">
      <c r="B68" s="109" t="s">
        <v>1606</v>
      </c>
      <c r="C68" s="166">
        <f>C46+C48+C50+C52+C54+C56+C58+C60+C62+C64+C66</f>
        <v>243</v>
      </c>
      <c r="D68" s="166">
        <f>D46+D48+D50+D52+D54+D56+D60+D62+D64+D66+D58</f>
        <v>190</v>
      </c>
      <c r="E68" s="166">
        <f>E46+E48+E50+E52+E54+E56+E58+E60+E62+E64+E66</f>
        <v>47</v>
      </c>
      <c r="F68" s="166">
        <f>F46+F48+F50+F52+F54+F56+F58+F60+F62+F64+F66</f>
        <v>6</v>
      </c>
    </row>
    <row r="69" spans="2:6" ht="20.25" x14ac:dyDescent="0.25">
      <c r="B69" s="109"/>
      <c r="C69" s="166">
        <f>C47+C49+C51+C53+C55+C57+C59+C61+C63+C65+C67</f>
        <v>1158928719933.4731</v>
      </c>
      <c r="D69" s="166">
        <f>D47+D49+D51+D53+D55+D57+D59+D61+D63+D65+D67</f>
        <v>891770127090</v>
      </c>
      <c r="E69" s="166">
        <f>E47+E49+E51+E53+E55+E57+E59+E61+E63+E65+E67</f>
        <v>251587167935.47308</v>
      </c>
      <c r="F69" s="166">
        <f>F47+F49+F51+F53+F55+F57+F59+F61+F63+F65+F67</f>
        <v>15571424908</v>
      </c>
    </row>
  </sheetData>
  <mergeCells count="2">
    <mergeCell ref="M3:O3"/>
    <mergeCell ref="B2:F2"/>
  </mergeCells>
  <pageMargins left="0.11811023622047245" right="0.11811023622047245" top="0.15748031496062992" bottom="0.35433070866141736" header="0.31496062992125984" footer="0.31496062992125984"/>
  <pageSetup paperSize="9" scale="45" orientation="landscape" r:id="rId1"/>
  <colBreaks count="1" manualBreakCount="1">
    <brk id="12" max="1048575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view="pageBreakPreview" topLeftCell="A7" zoomScaleNormal="100" zoomScaleSheetLayoutView="100" workbookViewId="0">
      <selection activeCell="E16" sqref="E16"/>
    </sheetView>
  </sheetViews>
  <sheetFormatPr defaultRowHeight="15" x14ac:dyDescent="0.25"/>
  <cols>
    <col min="1" max="1" width="6" customWidth="1"/>
    <col min="2" max="2" width="11.28515625" style="311" customWidth="1"/>
    <col min="3" max="3" width="39.5703125" style="312" customWidth="1"/>
    <col min="4" max="4" width="25.140625" customWidth="1"/>
    <col min="5" max="5" width="32.5703125" customWidth="1"/>
    <col min="6" max="6" width="28.5703125" style="311" customWidth="1"/>
    <col min="7" max="7" width="23.5703125" customWidth="1"/>
    <col min="8" max="8" width="20.85546875" style="311" customWidth="1"/>
    <col min="9" max="9" width="32.7109375" customWidth="1"/>
  </cols>
  <sheetData>
    <row r="1" spans="1:10" ht="25.5" x14ac:dyDescent="0.25">
      <c r="A1" s="312"/>
      <c r="B1" s="483" t="s">
        <v>2217</v>
      </c>
    </row>
    <row r="2" spans="1:10" ht="25.5" x14ac:dyDescent="0.25">
      <c r="B2" s="483" t="s">
        <v>2047</v>
      </c>
    </row>
    <row r="3" spans="1:10" s="94" customFormat="1" ht="31.5" x14ac:dyDescent="0.25">
      <c r="A3" s="21" t="s">
        <v>0</v>
      </c>
      <c r="B3" s="21" t="s">
        <v>1452</v>
      </c>
      <c r="C3" s="313" t="s">
        <v>2218</v>
      </c>
      <c r="D3" s="21" t="s">
        <v>749</v>
      </c>
      <c r="E3" s="21" t="s">
        <v>748</v>
      </c>
      <c r="F3" s="21" t="s">
        <v>2269</v>
      </c>
      <c r="G3" s="21" t="s">
        <v>521</v>
      </c>
      <c r="H3" s="21" t="s">
        <v>519</v>
      </c>
      <c r="I3" s="21" t="s">
        <v>1799</v>
      </c>
    </row>
    <row r="4" spans="1:10" ht="30" x14ac:dyDescent="0.25">
      <c r="A4" s="309">
        <v>1</v>
      </c>
      <c r="B4" s="309">
        <v>82</v>
      </c>
      <c r="C4" s="484" t="s">
        <v>2227</v>
      </c>
      <c r="D4" s="485" t="s">
        <v>2222</v>
      </c>
      <c r="E4" s="309" t="s">
        <v>2223</v>
      </c>
      <c r="F4" s="309" t="s">
        <v>2270</v>
      </c>
      <c r="G4" s="486">
        <v>45546</v>
      </c>
      <c r="H4" s="309" t="s">
        <v>669</v>
      </c>
      <c r="I4" s="309" t="s">
        <v>2271</v>
      </c>
    </row>
    <row r="5" spans="1:10" ht="45" x14ac:dyDescent="0.25">
      <c r="A5" s="309">
        <v>2</v>
      </c>
      <c r="B5" s="309">
        <v>96</v>
      </c>
      <c r="C5" s="484" t="s">
        <v>2227</v>
      </c>
      <c r="D5" s="485" t="s">
        <v>2222</v>
      </c>
      <c r="E5" s="309" t="s">
        <v>2223</v>
      </c>
      <c r="F5" s="309" t="s">
        <v>2272</v>
      </c>
      <c r="G5" s="486">
        <v>45561</v>
      </c>
      <c r="H5" s="309" t="s">
        <v>669</v>
      </c>
      <c r="I5" s="309" t="s">
        <v>2271</v>
      </c>
    </row>
    <row r="6" spans="1:10" ht="30" x14ac:dyDescent="0.25">
      <c r="A6" s="309">
        <v>3</v>
      </c>
      <c r="B6" s="309">
        <v>100</v>
      </c>
      <c r="C6" s="484" t="s">
        <v>2273</v>
      </c>
      <c r="D6" s="310" t="s">
        <v>706</v>
      </c>
      <c r="E6" s="309" t="s">
        <v>2274</v>
      </c>
      <c r="F6" s="309" t="s">
        <v>2225</v>
      </c>
      <c r="G6" s="486">
        <v>45561</v>
      </c>
      <c r="H6" s="309" t="s">
        <v>2224</v>
      </c>
      <c r="I6" s="309" t="s">
        <v>2275</v>
      </c>
    </row>
    <row r="7" spans="1:10" ht="30" x14ac:dyDescent="0.25">
      <c r="A7" s="309">
        <v>4</v>
      </c>
      <c r="B7" s="309">
        <v>106</v>
      </c>
      <c r="C7" s="484" t="s">
        <v>1344</v>
      </c>
      <c r="D7" s="310" t="s">
        <v>1400</v>
      </c>
      <c r="E7" s="309" t="s">
        <v>1401</v>
      </c>
      <c r="F7" s="309" t="s">
        <v>2267</v>
      </c>
      <c r="G7" s="486">
        <v>45568</v>
      </c>
      <c r="H7" s="309" t="s">
        <v>2224</v>
      </c>
      <c r="I7" s="309" t="s">
        <v>2276</v>
      </c>
    </row>
    <row r="8" spans="1:10" ht="33" customHeight="1" x14ac:dyDescent="0.25">
      <c r="A8" s="309">
        <v>5</v>
      </c>
      <c r="B8" s="309">
        <v>108</v>
      </c>
      <c r="C8" s="487" t="s">
        <v>2228</v>
      </c>
      <c r="D8" s="310" t="s">
        <v>974</v>
      </c>
      <c r="E8" s="488" t="s">
        <v>1608</v>
      </c>
      <c r="F8" s="309" t="s">
        <v>2277</v>
      </c>
      <c r="G8" s="486">
        <v>45572</v>
      </c>
      <c r="H8" s="309" t="s">
        <v>1583</v>
      </c>
      <c r="I8" s="309" t="s">
        <v>2278</v>
      </c>
      <c r="J8" s="489"/>
    </row>
    <row r="9" spans="1:10" ht="45" x14ac:dyDescent="0.25">
      <c r="A9" s="309">
        <v>6</v>
      </c>
      <c r="B9" s="309">
        <v>105</v>
      </c>
      <c r="C9" s="487" t="s">
        <v>2279</v>
      </c>
      <c r="D9" s="310" t="s">
        <v>1725</v>
      </c>
      <c r="E9" s="310" t="s">
        <v>1726</v>
      </c>
      <c r="F9" s="309" t="s">
        <v>2280</v>
      </c>
      <c r="G9" s="486">
        <v>45572</v>
      </c>
      <c r="H9" s="309" t="s">
        <v>1312</v>
      </c>
      <c r="I9" s="309" t="s">
        <v>2276</v>
      </c>
    </row>
    <row r="10" spans="1:10" ht="28.5" x14ac:dyDescent="0.25">
      <c r="A10" s="309">
        <v>7</v>
      </c>
      <c r="B10" s="309">
        <v>109</v>
      </c>
      <c r="C10" s="487" t="s">
        <v>2229</v>
      </c>
      <c r="D10" s="310" t="s">
        <v>1725</v>
      </c>
      <c r="E10" s="310" t="s">
        <v>1726</v>
      </c>
      <c r="F10" s="309" t="s">
        <v>2281</v>
      </c>
      <c r="G10" s="486">
        <v>45572</v>
      </c>
      <c r="H10" s="309" t="s">
        <v>1312</v>
      </c>
      <c r="I10" s="309" t="s">
        <v>2381</v>
      </c>
    </row>
    <row r="11" spans="1:10" ht="30" x14ac:dyDescent="0.25">
      <c r="A11" s="309">
        <v>8</v>
      </c>
      <c r="B11" s="309">
        <v>103</v>
      </c>
      <c r="C11" s="487" t="s">
        <v>2282</v>
      </c>
      <c r="D11" s="310" t="s">
        <v>1674</v>
      </c>
      <c r="E11" s="310" t="s">
        <v>1673</v>
      </c>
      <c r="F11" s="309" t="s">
        <v>2268</v>
      </c>
      <c r="G11" s="486">
        <v>45567</v>
      </c>
      <c r="H11" s="309" t="s">
        <v>1312</v>
      </c>
      <c r="I11" s="309" t="s">
        <v>2382</v>
      </c>
    </row>
    <row r="12" spans="1:10" ht="30" x14ac:dyDescent="0.25">
      <c r="A12" s="309">
        <v>9</v>
      </c>
      <c r="B12" s="309">
        <v>102</v>
      </c>
      <c r="C12" s="487" t="s">
        <v>1616</v>
      </c>
      <c r="D12" s="24" t="s">
        <v>1567</v>
      </c>
      <c r="E12" s="24" t="s">
        <v>1568</v>
      </c>
      <c r="F12" s="309" t="s">
        <v>2283</v>
      </c>
      <c r="G12" s="486">
        <v>45567</v>
      </c>
      <c r="H12" s="309" t="s">
        <v>1549</v>
      </c>
      <c r="I12" s="309" t="s">
        <v>2284</v>
      </c>
    </row>
    <row r="13" spans="1:10" ht="30" x14ac:dyDescent="0.25">
      <c r="A13" s="309">
        <v>10</v>
      </c>
      <c r="B13" s="309">
        <v>101</v>
      </c>
      <c r="C13" s="487" t="s">
        <v>1556</v>
      </c>
      <c r="D13" s="24" t="s">
        <v>758</v>
      </c>
      <c r="E13" s="24" t="s">
        <v>1412</v>
      </c>
      <c r="F13" s="309" t="s">
        <v>2283</v>
      </c>
      <c r="G13" s="486">
        <v>45562</v>
      </c>
      <c r="H13" s="309" t="s">
        <v>1549</v>
      </c>
      <c r="I13" s="309" t="s">
        <v>2284</v>
      </c>
    </row>
    <row r="14" spans="1:10" x14ac:dyDescent="0.25">
      <c r="A14" s="490"/>
      <c r="B14" s="491"/>
      <c r="C14" s="492"/>
      <c r="D14" s="490"/>
      <c r="E14" s="490"/>
      <c r="F14" s="491"/>
      <c r="G14" s="493"/>
      <c r="H14" s="491"/>
      <c r="I14" s="490"/>
    </row>
    <row r="15" spans="1:10" ht="25.5" x14ac:dyDescent="0.25">
      <c r="B15" s="483" t="s">
        <v>2048</v>
      </c>
    </row>
    <row r="16" spans="1:10" s="94" customFormat="1" ht="31.5" x14ac:dyDescent="0.25">
      <c r="A16" s="21" t="s">
        <v>0</v>
      </c>
      <c r="B16" s="21" t="s">
        <v>1452</v>
      </c>
      <c r="C16" s="313" t="s">
        <v>2218</v>
      </c>
      <c r="D16" s="21" t="s">
        <v>2049</v>
      </c>
      <c r="E16" s="21" t="s">
        <v>2411</v>
      </c>
      <c r="F16" s="21" t="s">
        <v>2219</v>
      </c>
      <c r="G16" s="21" t="s">
        <v>521</v>
      </c>
      <c r="H16" s="21" t="s">
        <v>519</v>
      </c>
      <c r="I16" s="21" t="s">
        <v>1799</v>
      </c>
    </row>
    <row r="17" spans="1:9" ht="45" x14ac:dyDescent="0.25">
      <c r="A17" s="309">
        <v>1</v>
      </c>
      <c r="B17" s="309" t="s">
        <v>2384</v>
      </c>
      <c r="C17" s="309" t="s">
        <v>2385</v>
      </c>
      <c r="D17" s="540" t="s">
        <v>2386</v>
      </c>
      <c r="E17" s="540" t="s">
        <v>2387</v>
      </c>
      <c r="F17" s="309" t="s">
        <v>2388</v>
      </c>
      <c r="G17" s="486">
        <v>45562</v>
      </c>
      <c r="H17" s="309" t="s">
        <v>2389</v>
      </c>
      <c r="I17" s="309" t="s">
        <v>2390</v>
      </c>
    </row>
    <row r="18" spans="1:9" ht="60" x14ac:dyDescent="0.25">
      <c r="A18" s="309">
        <v>2</v>
      </c>
      <c r="B18" s="309">
        <v>110</v>
      </c>
      <c r="C18" s="540" t="s">
        <v>2391</v>
      </c>
      <c r="D18" s="540" t="s">
        <v>2392</v>
      </c>
      <c r="E18" s="309"/>
      <c r="F18" s="309" t="s">
        <v>2393</v>
      </c>
      <c r="G18" s="486">
        <v>45576</v>
      </c>
      <c r="H18" s="309" t="s">
        <v>1583</v>
      </c>
      <c r="I18" s="309" t="s">
        <v>2276</v>
      </c>
    </row>
    <row r="19" spans="1:9" ht="60" x14ac:dyDescent="0.25">
      <c r="A19" s="309">
        <v>3</v>
      </c>
      <c r="B19" s="309">
        <v>111</v>
      </c>
      <c r="C19" s="540" t="s">
        <v>2391</v>
      </c>
      <c r="D19" s="540" t="s">
        <v>2392</v>
      </c>
      <c r="E19" s="541"/>
      <c r="F19" s="309" t="s">
        <v>2393</v>
      </c>
      <c r="G19" s="486">
        <v>45577</v>
      </c>
      <c r="H19" s="309" t="s">
        <v>1583</v>
      </c>
      <c r="I19" s="309" t="s">
        <v>2276</v>
      </c>
    </row>
  </sheetData>
  <pageMargins left="0.7" right="0.7" top="0.75" bottom="0.75" header="0.3" footer="0.3"/>
  <pageSetup paperSize="9" scale="39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view="pageBreakPreview" topLeftCell="A4" zoomScale="85" zoomScaleNormal="70" zoomScaleSheetLayoutView="85" workbookViewId="0">
      <selection activeCell="G10" sqref="G10"/>
    </sheetView>
  </sheetViews>
  <sheetFormatPr defaultRowHeight="15" x14ac:dyDescent="0.25"/>
  <cols>
    <col min="1" max="1" width="4" bestFit="1" customWidth="1"/>
    <col min="2" max="2" width="17.28515625" customWidth="1"/>
    <col min="3" max="3" width="32.5703125" customWidth="1"/>
    <col min="4" max="4" width="24.42578125" customWidth="1"/>
    <col min="5" max="5" width="32.42578125" customWidth="1"/>
    <col min="6" max="6" width="24.5703125" customWidth="1"/>
    <col min="7" max="7" width="22.85546875" customWidth="1"/>
    <col min="8" max="8" width="30.85546875" customWidth="1"/>
    <col min="9" max="9" width="29.7109375" customWidth="1"/>
    <col min="10" max="10" width="26.7109375" customWidth="1"/>
    <col min="11" max="11" width="30.28515625" customWidth="1"/>
    <col min="12" max="12" width="35.28515625" customWidth="1"/>
  </cols>
  <sheetData>
    <row r="1" spans="1:11" ht="25.5" x14ac:dyDescent="0.25">
      <c r="B1" s="293" t="s">
        <v>2046</v>
      </c>
    </row>
    <row r="2" spans="1:11" ht="25.5" x14ac:dyDescent="0.25">
      <c r="B2" s="293" t="s">
        <v>2047</v>
      </c>
    </row>
    <row r="3" spans="1:11" s="94" customFormat="1" ht="31.5" x14ac:dyDescent="0.25">
      <c r="A3" s="21" t="s">
        <v>0</v>
      </c>
      <c r="B3" s="21" t="s">
        <v>1452</v>
      </c>
      <c r="C3" s="21" t="s">
        <v>794</v>
      </c>
      <c r="D3" s="21" t="s">
        <v>1390</v>
      </c>
      <c r="E3" s="21" t="s">
        <v>749</v>
      </c>
      <c r="F3" s="21" t="s">
        <v>748</v>
      </c>
      <c r="G3" s="21" t="s">
        <v>26</v>
      </c>
      <c r="H3" s="21" t="s">
        <v>30</v>
      </c>
      <c r="I3" s="21" t="s">
        <v>521</v>
      </c>
      <c r="J3" s="21" t="s">
        <v>519</v>
      </c>
      <c r="K3" s="21" t="s">
        <v>1799</v>
      </c>
    </row>
    <row r="4" spans="1:11" s="226" customFormat="1" ht="31.5" x14ac:dyDescent="0.25">
      <c r="A4" s="27">
        <v>1</v>
      </c>
      <c r="B4" s="24">
        <v>500</v>
      </c>
      <c r="C4" s="32" t="s">
        <v>2055</v>
      </c>
      <c r="D4" s="24" t="s">
        <v>2043</v>
      </c>
      <c r="E4" s="24" t="s">
        <v>2039</v>
      </c>
      <c r="F4" s="24" t="s">
        <v>2040</v>
      </c>
      <c r="G4" s="292">
        <v>4829386412</v>
      </c>
      <c r="H4" s="98">
        <v>180</v>
      </c>
      <c r="I4" s="35">
        <v>45539</v>
      </c>
      <c r="J4" s="99" t="s">
        <v>2285</v>
      </c>
      <c r="K4" s="99" t="s">
        <v>2286</v>
      </c>
    </row>
    <row r="5" spans="1:11" s="226" customFormat="1" ht="31.5" x14ac:dyDescent="0.25">
      <c r="A5" s="27">
        <v>2</v>
      </c>
      <c r="B5" s="24">
        <v>496</v>
      </c>
      <c r="C5" s="32" t="s">
        <v>2056</v>
      </c>
      <c r="D5" s="27" t="s">
        <v>753</v>
      </c>
      <c r="E5" s="24" t="s">
        <v>889</v>
      </c>
      <c r="F5" s="24" t="s">
        <v>1870</v>
      </c>
      <c r="G5" s="292">
        <v>3249330210</v>
      </c>
      <c r="H5" s="98">
        <v>120</v>
      </c>
      <c r="I5" s="35">
        <v>45540</v>
      </c>
      <c r="J5" s="99" t="s">
        <v>2287</v>
      </c>
      <c r="K5" s="99" t="s">
        <v>2286</v>
      </c>
    </row>
    <row r="6" spans="1:11" s="226" customFormat="1" ht="31.5" x14ac:dyDescent="0.25">
      <c r="A6" s="27">
        <v>3</v>
      </c>
      <c r="B6" s="24">
        <v>503</v>
      </c>
      <c r="C6" s="32" t="s">
        <v>2059</v>
      </c>
      <c r="D6" s="24" t="s">
        <v>1325</v>
      </c>
      <c r="E6" s="13" t="s">
        <v>1876</v>
      </c>
      <c r="F6" s="145" t="s">
        <v>2061</v>
      </c>
      <c r="G6" s="98">
        <v>14447740390</v>
      </c>
      <c r="H6" s="98">
        <v>360</v>
      </c>
      <c r="I6" s="35">
        <v>45558</v>
      </c>
      <c r="J6" s="35" t="s">
        <v>2288</v>
      </c>
      <c r="K6" s="99" t="s">
        <v>2289</v>
      </c>
    </row>
    <row r="7" spans="1:11" s="226" customFormat="1" ht="31.5" x14ac:dyDescent="0.25">
      <c r="A7" s="27">
        <v>4</v>
      </c>
      <c r="B7" s="24">
        <v>502</v>
      </c>
      <c r="C7" s="32" t="s">
        <v>2054</v>
      </c>
      <c r="D7" s="27" t="s">
        <v>174</v>
      </c>
      <c r="E7" s="13" t="s">
        <v>2029</v>
      </c>
      <c r="F7" s="145" t="s">
        <v>2031</v>
      </c>
      <c r="G7" s="98">
        <v>5526120000</v>
      </c>
      <c r="H7" s="98">
        <v>176</v>
      </c>
      <c r="I7" s="35">
        <v>45559</v>
      </c>
      <c r="J7" s="30" t="s">
        <v>2290</v>
      </c>
      <c r="K7" s="99" t="s">
        <v>2289</v>
      </c>
    </row>
    <row r="8" spans="1:11" s="226" customFormat="1" ht="47.25" x14ac:dyDescent="0.25">
      <c r="A8" s="27">
        <v>5</v>
      </c>
      <c r="B8" s="24">
        <v>496</v>
      </c>
      <c r="C8" s="32" t="s">
        <v>2291</v>
      </c>
      <c r="D8" s="24" t="s">
        <v>23</v>
      </c>
      <c r="E8" s="13" t="s">
        <v>889</v>
      </c>
      <c r="F8" s="145" t="s">
        <v>2012</v>
      </c>
      <c r="G8" s="98">
        <v>7497531000</v>
      </c>
      <c r="H8" s="98">
        <v>341</v>
      </c>
      <c r="I8" s="35">
        <v>45540</v>
      </c>
      <c r="J8" s="99" t="s">
        <v>2287</v>
      </c>
      <c r="K8" s="35" t="s">
        <v>2045</v>
      </c>
    </row>
    <row r="9" spans="1:11" s="226" customFormat="1" ht="47.25" x14ac:dyDescent="0.25">
      <c r="A9" s="27">
        <v>6</v>
      </c>
      <c r="B9" s="24">
        <v>504</v>
      </c>
      <c r="C9" s="32" t="s">
        <v>2066</v>
      </c>
      <c r="D9" s="24" t="s">
        <v>759</v>
      </c>
      <c r="E9" s="13" t="s">
        <v>2063</v>
      </c>
      <c r="F9" s="145" t="s">
        <v>2065</v>
      </c>
      <c r="G9" s="98">
        <v>1875024849</v>
      </c>
      <c r="H9" s="98">
        <v>106</v>
      </c>
      <c r="I9" s="35">
        <v>45546</v>
      </c>
      <c r="J9" s="99" t="s">
        <v>2292</v>
      </c>
      <c r="K9" s="35" t="s">
        <v>2045</v>
      </c>
    </row>
    <row r="10" spans="1:11" s="226" customFormat="1" ht="47.25" x14ac:dyDescent="0.25">
      <c r="A10" s="27">
        <v>7</v>
      </c>
      <c r="B10" s="24">
        <v>505</v>
      </c>
      <c r="C10" s="32" t="s">
        <v>2057</v>
      </c>
      <c r="D10" s="27" t="s">
        <v>1814</v>
      </c>
      <c r="E10" s="24" t="s">
        <v>1815</v>
      </c>
      <c r="F10" s="24" t="s">
        <v>1817</v>
      </c>
      <c r="G10" s="98">
        <v>5803005597</v>
      </c>
      <c r="H10" s="98">
        <v>126</v>
      </c>
      <c r="I10" s="35">
        <v>45555</v>
      </c>
      <c r="J10" s="30" t="s">
        <v>2293</v>
      </c>
      <c r="K10" s="35" t="s">
        <v>2045</v>
      </c>
    </row>
    <row r="11" spans="1:11" s="226" customFormat="1" ht="31.5" x14ac:dyDescent="0.25">
      <c r="A11" s="27">
        <v>8</v>
      </c>
      <c r="B11" s="24"/>
      <c r="C11" s="32" t="s">
        <v>2220</v>
      </c>
      <c r="D11" s="27" t="s">
        <v>174</v>
      </c>
      <c r="E11" s="309" t="s">
        <v>699</v>
      </c>
      <c r="F11" s="309" t="s">
        <v>1592</v>
      </c>
      <c r="G11" s="98"/>
      <c r="H11" s="98"/>
      <c r="I11" s="35"/>
      <c r="J11" s="30" t="s">
        <v>2294</v>
      </c>
      <c r="K11" s="35" t="s">
        <v>2295</v>
      </c>
    </row>
    <row r="12" spans="1:11" s="226" customFormat="1" ht="47.25" x14ac:dyDescent="0.25">
      <c r="A12" s="27">
        <v>9</v>
      </c>
      <c r="B12" s="24"/>
      <c r="C12" s="32" t="s">
        <v>2296</v>
      </c>
      <c r="D12" s="27" t="s">
        <v>2297</v>
      </c>
      <c r="E12" s="309" t="s">
        <v>2298</v>
      </c>
      <c r="F12" s="309"/>
      <c r="G12" s="98"/>
      <c r="H12" s="98"/>
      <c r="I12" s="35"/>
      <c r="J12" s="30" t="s">
        <v>681</v>
      </c>
      <c r="K12" s="35" t="s">
        <v>2299</v>
      </c>
    </row>
    <row r="13" spans="1:11" s="226" customFormat="1" ht="47.25" x14ac:dyDescent="0.25">
      <c r="A13" s="27">
        <v>10</v>
      </c>
      <c r="B13" s="24"/>
      <c r="C13" s="32" t="s">
        <v>2221</v>
      </c>
      <c r="D13" s="24" t="s">
        <v>1179</v>
      </c>
      <c r="E13" s="309" t="s">
        <v>974</v>
      </c>
      <c r="F13" s="309" t="s">
        <v>1587</v>
      </c>
      <c r="G13" s="98"/>
      <c r="H13" s="98"/>
      <c r="I13" s="35"/>
      <c r="J13" s="30" t="s">
        <v>2300</v>
      </c>
      <c r="K13" s="35" t="s">
        <v>2299</v>
      </c>
    </row>
    <row r="14" spans="1:11" s="226" customFormat="1" ht="43.5" customHeight="1" x14ac:dyDescent="0.25">
      <c r="A14" s="27">
        <v>11</v>
      </c>
      <c r="B14" s="24"/>
      <c r="C14" s="32" t="s">
        <v>2301</v>
      </c>
      <c r="D14" s="24" t="s">
        <v>174</v>
      </c>
      <c r="E14" s="309" t="s">
        <v>2302</v>
      </c>
      <c r="F14" s="309"/>
      <c r="G14" s="98"/>
      <c r="H14" s="98"/>
      <c r="I14" s="35"/>
      <c r="J14" s="30"/>
      <c r="K14" s="35" t="s">
        <v>2299</v>
      </c>
    </row>
    <row r="15" spans="1:11" ht="20.25" x14ac:dyDescent="0.25">
      <c r="A15" s="677" t="s">
        <v>18</v>
      </c>
      <c r="B15" s="677"/>
      <c r="C15" s="677"/>
      <c r="D15" s="37"/>
      <c r="E15" s="37"/>
      <c r="F15" s="37"/>
      <c r="G15" s="38">
        <f>SUM(G4:G14)</f>
        <v>43228138458</v>
      </c>
      <c r="H15" s="38">
        <f>SUM(H4:H14)</f>
        <v>1409</v>
      </c>
      <c r="I15" s="39"/>
      <c r="J15" s="39"/>
      <c r="K15" s="38"/>
    </row>
    <row r="17" spans="1:9" ht="25.5" x14ac:dyDescent="0.25">
      <c r="B17" s="293" t="s">
        <v>2048</v>
      </c>
    </row>
    <row r="18" spans="1:9" s="94" customFormat="1" ht="33.75" customHeight="1" x14ac:dyDescent="0.25">
      <c r="A18" s="21" t="s">
        <v>0</v>
      </c>
      <c r="B18" s="21" t="s">
        <v>1390</v>
      </c>
      <c r="C18" s="21" t="s">
        <v>2049</v>
      </c>
      <c r="D18" s="21" t="s">
        <v>2051</v>
      </c>
      <c r="E18" s="21" t="s">
        <v>2050</v>
      </c>
      <c r="F18" s="21" t="s">
        <v>30</v>
      </c>
      <c r="G18" s="21" t="s">
        <v>519</v>
      </c>
      <c r="H18" s="21" t="s">
        <v>1799</v>
      </c>
      <c r="I18" s="21" t="s">
        <v>521</v>
      </c>
    </row>
    <row r="19" spans="1:9" s="226" customFormat="1" ht="31.5" x14ac:dyDescent="0.25">
      <c r="A19" s="27">
        <v>1</v>
      </c>
      <c r="B19" s="27" t="s">
        <v>2058</v>
      </c>
      <c r="C19" s="13" t="s">
        <v>2053</v>
      </c>
      <c r="D19" s="98">
        <v>1399</v>
      </c>
      <c r="E19" s="98">
        <v>400000000</v>
      </c>
      <c r="F19" s="98">
        <v>48</v>
      </c>
      <c r="G19" s="99" t="s">
        <v>2052</v>
      </c>
      <c r="H19" s="99" t="s">
        <v>2303</v>
      </c>
      <c r="I19" s="35">
        <v>45560</v>
      </c>
    </row>
    <row r="20" spans="1:9" ht="20.25" x14ac:dyDescent="0.25">
      <c r="A20" s="677" t="s">
        <v>18</v>
      </c>
      <c r="B20" s="677"/>
      <c r="C20" s="677"/>
      <c r="D20" s="38">
        <f>SUM(D19:D19)</f>
        <v>1399</v>
      </c>
      <c r="E20" s="38">
        <f>SUM(E19:E19)</f>
        <v>400000000</v>
      </c>
      <c r="F20" s="38">
        <f>SUM(F19:F19)</f>
        <v>48</v>
      </c>
      <c r="G20" s="38"/>
      <c r="H20" s="38"/>
      <c r="I20" s="39"/>
    </row>
  </sheetData>
  <mergeCells count="2">
    <mergeCell ref="A15:C15"/>
    <mergeCell ref="A20:C20"/>
  </mergeCells>
  <pageMargins left="0.7" right="0.7" top="0.75" bottom="0.75" header="0.3" footer="0.3"/>
  <pageSetup paperSize="9" scale="31" orientation="portrait" horizontalDpi="4294967295" verticalDpi="4294967295" r:id="rId1"/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9"/>
  <sheetViews>
    <sheetView workbookViewId="0">
      <selection activeCell="I19" sqref="I19"/>
    </sheetView>
  </sheetViews>
  <sheetFormatPr defaultRowHeight="15" x14ac:dyDescent="0.25"/>
  <cols>
    <col min="2" max="2" width="32.85546875" customWidth="1"/>
    <col min="3" max="3" width="25" customWidth="1"/>
    <col min="4" max="4" width="17.7109375" customWidth="1"/>
    <col min="5" max="6" width="13.42578125" customWidth="1"/>
  </cols>
  <sheetData>
    <row r="1" spans="1:6" x14ac:dyDescent="0.25">
      <c r="B1" s="215" t="s">
        <v>1782</v>
      </c>
    </row>
    <row r="2" spans="1:6" ht="31.5" x14ac:dyDescent="0.25">
      <c r="A2" s="54">
        <v>1</v>
      </c>
      <c r="B2" s="32" t="s">
        <v>1421</v>
      </c>
      <c r="C2" s="24" t="s">
        <v>1483</v>
      </c>
      <c r="D2" s="98">
        <v>1084238076</v>
      </c>
      <c r="E2" s="98">
        <v>4352.5</v>
      </c>
      <c r="F2" s="98">
        <v>58</v>
      </c>
    </row>
    <row r="3" spans="1:6" ht="31.5" x14ac:dyDescent="0.25">
      <c r="A3" s="54">
        <v>2</v>
      </c>
      <c r="B3" s="32" t="s">
        <v>1560</v>
      </c>
      <c r="C3" s="24" t="s">
        <v>1508</v>
      </c>
      <c r="D3" s="98">
        <v>4916104675</v>
      </c>
      <c r="E3" s="98">
        <v>15148.34</v>
      </c>
      <c r="F3" s="24">
        <v>216</v>
      </c>
    </row>
    <row r="4" spans="1:6" ht="15.75" x14ac:dyDescent="0.25">
      <c r="D4" s="214">
        <f>SUM(D2:D3)</f>
        <v>6000342751</v>
      </c>
      <c r="E4" s="214">
        <f>SUM(E2:E3)</f>
        <v>19500.84</v>
      </c>
      <c r="F4" s="214">
        <f>SUM(F2:F3)</f>
        <v>274</v>
      </c>
    </row>
    <row r="6" spans="1:6" ht="15.75" x14ac:dyDescent="0.25">
      <c r="B6" s="45" t="s">
        <v>1783</v>
      </c>
    </row>
    <row r="7" spans="1:6" ht="15.75" x14ac:dyDescent="0.25">
      <c r="A7" s="56">
        <v>1</v>
      </c>
      <c r="B7" s="50" t="s">
        <v>951</v>
      </c>
      <c r="C7" s="51" t="s">
        <v>759</v>
      </c>
      <c r="D7" s="60">
        <v>4672680111</v>
      </c>
      <c r="E7" s="52">
        <v>23277.66</v>
      </c>
      <c r="F7" s="104">
        <v>267</v>
      </c>
    </row>
    <row r="8" spans="1:6" ht="15.75" x14ac:dyDescent="0.25">
      <c r="A8" s="56">
        <v>2</v>
      </c>
      <c r="B8" s="50" t="s">
        <v>837</v>
      </c>
      <c r="C8" s="51" t="s">
        <v>759</v>
      </c>
      <c r="D8" s="60">
        <v>2271535493</v>
      </c>
      <c r="E8" s="52">
        <v>11439.2</v>
      </c>
      <c r="F8" s="104">
        <v>234</v>
      </c>
    </row>
    <row r="9" spans="1:6" ht="15.75" x14ac:dyDescent="0.25">
      <c r="A9" s="56">
        <v>3</v>
      </c>
      <c r="B9" s="50" t="s">
        <v>776</v>
      </c>
      <c r="C9" s="51" t="s">
        <v>759</v>
      </c>
      <c r="D9" s="60">
        <v>1254168086</v>
      </c>
      <c r="E9" s="52">
        <v>4352.5</v>
      </c>
      <c r="F9" s="51">
        <v>70</v>
      </c>
    </row>
    <row r="10" spans="1:6" ht="31.5" x14ac:dyDescent="0.25">
      <c r="A10" s="106">
        <v>4</v>
      </c>
      <c r="B10" s="50" t="s">
        <v>1361</v>
      </c>
      <c r="C10" s="51" t="s">
        <v>1508</v>
      </c>
      <c r="D10" s="60">
        <v>2220361349</v>
      </c>
      <c r="E10" s="52">
        <v>7495.49</v>
      </c>
      <c r="F10" s="51">
        <v>84</v>
      </c>
    </row>
    <row r="11" spans="1:6" ht="31.5" x14ac:dyDescent="0.25">
      <c r="A11" s="106">
        <v>5</v>
      </c>
      <c r="B11" s="50" t="s">
        <v>1156</v>
      </c>
      <c r="C11" s="51" t="s">
        <v>1508</v>
      </c>
      <c r="D11" s="60">
        <v>3974338040</v>
      </c>
      <c r="E11" s="52">
        <v>13441.1</v>
      </c>
      <c r="F11" s="51">
        <v>132</v>
      </c>
    </row>
    <row r="12" spans="1:6" ht="31.5" x14ac:dyDescent="0.25">
      <c r="A12" s="106">
        <v>6</v>
      </c>
      <c r="B12" s="50" t="s">
        <v>1158</v>
      </c>
      <c r="C12" s="51" t="s">
        <v>1508</v>
      </c>
      <c r="D12" s="60">
        <v>4087535350</v>
      </c>
      <c r="E12" s="52">
        <v>13498.53</v>
      </c>
      <c r="F12" s="51">
        <v>144</v>
      </c>
    </row>
    <row r="13" spans="1:6" ht="15.75" x14ac:dyDescent="0.25">
      <c r="A13" s="106">
        <v>7</v>
      </c>
      <c r="B13" s="50" t="s">
        <v>1110</v>
      </c>
      <c r="C13" s="51" t="s">
        <v>759</v>
      </c>
      <c r="D13" s="60">
        <v>3177473358</v>
      </c>
      <c r="E13" s="52">
        <v>17698.62</v>
      </c>
      <c r="F13" s="51">
        <v>251</v>
      </c>
    </row>
    <row r="14" spans="1:6" ht="31.5" x14ac:dyDescent="0.25">
      <c r="A14" s="106">
        <v>8</v>
      </c>
      <c r="B14" s="50" t="s">
        <v>1449</v>
      </c>
      <c r="C14" s="51" t="s">
        <v>1483</v>
      </c>
      <c r="D14" s="60">
        <v>1082543056</v>
      </c>
      <c r="E14" s="148">
        <v>4089.3</v>
      </c>
      <c r="F14" s="51">
        <v>58</v>
      </c>
    </row>
    <row r="15" spans="1:6" ht="15.75" x14ac:dyDescent="0.25">
      <c r="D15" s="76">
        <f>SUM(D7:D14)</f>
        <v>22740634843</v>
      </c>
      <c r="E15" s="76">
        <f>SUM(E7:E14)</f>
        <v>95292.4</v>
      </c>
      <c r="F15" s="76">
        <f>SUM(F7:F14)</f>
        <v>1240</v>
      </c>
    </row>
    <row r="19" spans="4:6" x14ac:dyDescent="0.25">
      <c r="D19" s="141">
        <f>D15+D4</f>
        <v>28740977594</v>
      </c>
      <c r="E19" s="141">
        <f>E15+E4</f>
        <v>114793.23999999999</v>
      </c>
      <c r="F19" s="141">
        <f>F15+F4</f>
        <v>1514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6"/>
  <sheetViews>
    <sheetView topLeftCell="A4" zoomScale="80" zoomScaleNormal="80" workbookViewId="0">
      <selection activeCell="B26" sqref="B26"/>
    </sheetView>
  </sheetViews>
  <sheetFormatPr defaultRowHeight="15" x14ac:dyDescent="0.25"/>
  <cols>
    <col min="2" max="2" width="34.85546875" customWidth="1"/>
    <col min="3" max="3" width="18.42578125" customWidth="1"/>
    <col min="4" max="4" width="19.140625" customWidth="1"/>
    <col min="5" max="5" width="25.140625" customWidth="1"/>
    <col min="6" max="6" width="15" customWidth="1"/>
    <col min="8" max="8" width="15.7109375" customWidth="1"/>
    <col min="9" max="9" width="18.28515625" customWidth="1"/>
    <col min="11" max="11" width="25" customWidth="1"/>
  </cols>
  <sheetData>
    <row r="3" spans="1:11" ht="25.5" x14ac:dyDescent="0.25">
      <c r="A3" s="19"/>
      <c r="B3" s="20" t="s">
        <v>498</v>
      </c>
      <c r="C3" s="20"/>
      <c r="D3" s="20"/>
      <c r="E3" s="19"/>
      <c r="F3" s="19"/>
      <c r="G3" s="19"/>
      <c r="H3" s="19"/>
      <c r="I3" s="19"/>
      <c r="J3" s="19"/>
      <c r="K3" s="19"/>
    </row>
    <row r="4" spans="1:11" ht="63" x14ac:dyDescent="0.25">
      <c r="A4" s="21" t="s">
        <v>0</v>
      </c>
      <c r="B4" s="21" t="s">
        <v>24</v>
      </c>
      <c r="C4" s="21" t="s">
        <v>749</v>
      </c>
      <c r="D4" s="21" t="s">
        <v>748</v>
      </c>
      <c r="E4" s="21" t="s">
        <v>26</v>
      </c>
      <c r="F4" s="21" t="s">
        <v>177</v>
      </c>
      <c r="G4" s="21" t="s">
        <v>178</v>
      </c>
      <c r="H4" s="21" t="s">
        <v>31</v>
      </c>
      <c r="I4" s="21" t="s">
        <v>33</v>
      </c>
      <c r="J4" s="21"/>
      <c r="K4" s="21" t="s">
        <v>34</v>
      </c>
    </row>
    <row r="5" spans="1:11" ht="126" x14ac:dyDescent="0.25">
      <c r="A5" s="24">
        <v>1</v>
      </c>
      <c r="B5" s="32" t="s">
        <v>529</v>
      </c>
      <c r="C5" s="13" t="s">
        <v>975</v>
      </c>
      <c r="D5" s="13" t="s">
        <v>1125</v>
      </c>
      <c r="E5" s="25">
        <v>18479245069</v>
      </c>
      <c r="F5" s="33">
        <v>101160.24</v>
      </c>
      <c r="G5" s="58">
        <v>1283</v>
      </c>
      <c r="H5" s="13" t="s">
        <v>179</v>
      </c>
      <c r="I5" s="30" t="s">
        <v>180</v>
      </c>
      <c r="J5" s="30"/>
      <c r="K5" s="30" t="s">
        <v>181</v>
      </c>
    </row>
    <row r="6" spans="1:11" ht="31.5" x14ac:dyDescent="0.25">
      <c r="A6" s="24">
        <v>2</v>
      </c>
      <c r="B6" s="32" t="s">
        <v>430</v>
      </c>
      <c r="C6" s="79" t="s">
        <v>1127</v>
      </c>
      <c r="D6" s="79" t="s">
        <v>1126</v>
      </c>
      <c r="E6" s="25">
        <v>747168901</v>
      </c>
      <c r="F6" s="33">
        <v>25590</v>
      </c>
      <c r="G6" s="25">
        <v>322</v>
      </c>
      <c r="H6" s="24">
        <v>5</v>
      </c>
      <c r="I6" s="35">
        <v>44483</v>
      </c>
      <c r="J6" s="35"/>
      <c r="K6" s="35">
        <v>44909</v>
      </c>
    </row>
    <row r="7" spans="1:11" ht="47.25" x14ac:dyDescent="0.25">
      <c r="A7" s="24">
        <v>3</v>
      </c>
      <c r="B7" s="32" t="s">
        <v>376</v>
      </c>
      <c r="C7" s="79" t="s">
        <v>977</v>
      </c>
      <c r="D7" s="79" t="s">
        <v>971</v>
      </c>
      <c r="E7" s="25">
        <v>2283514290</v>
      </c>
      <c r="F7" s="33">
        <v>19588.13</v>
      </c>
      <c r="G7" s="25">
        <v>144</v>
      </c>
      <c r="H7" s="24">
        <v>9</v>
      </c>
      <c r="I7" s="35">
        <v>44472</v>
      </c>
      <c r="J7" s="35"/>
      <c r="K7" s="35">
        <v>44807</v>
      </c>
    </row>
    <row r="8" spans="1:11" ht="31.5" x14ac:dyDescent="0.25">
      <c r="A8" s="24">
        <v>4</v>
      </c>
      <c r="B8" s="32" t="s">
        <v>494</v>
      </c>
      <c r="C8" s="79" t="s">
        <v>1129</v>
      </c>
      <c r="D8" s="79" t="s">
        <v>1128</v>
      </c>
      <c r="E8" s="25" t="s">
        <v>495</v>
      </c>
      <c r="F8" s="84" t="s">
        <v>496</v>
      </c>
      <c r="G8" s="25">
        <v>242</v>
      </c>
      <c r="H8" s="24">
        <v>12</v>
      </c>
      <c r="I8" s="35">
        <v>44666</v>
      </c>
      <c r="J8" s="35"/>
      <c r="K8" s="35">
        <v>45078</v>
      </c>
    </row>
    <row r="9" spans="1:11" ht="63" x14ac:dyDescent="0.25">
      <c r="A9" s="24">
        <v>5</v>
      </c>
      <c r="B9" s="32" t="s">
        <v>505</v>
      </c>
      <c r="C9" s="79" t="s">
        <v>1131</v>
      </c>
      <c r="D9" s="79" t="s">
        <v>1130</v>
      </c>
      <c r="E9" s="25">
        <v>5663317430</v>
      </c>
      <c r="F9" s="84">
        <v>25644.240000000002</v>
      </c>
      <c r="G9" s="25">
        <v>208</v>
      </c>
      <c r="H9" s="24">
        <v>12</v>
      </c>
      <c r="I9" s="33"/>
      <c r="J9" s="33"/>
      <c r="K9" s="35">
        <v>44727</v>
      </c>
    </row>
    <row r="10" spans="1:11" ht="31.5" x14ac:dyDescent="0.25">
      <c r="A10" s="24">
        <v>6</v>
      </c>
      <c r="B10" s="32" t="s">
        <v>504</v>
      </c>
      <c r="C10" s="79" t="s">
        <v>1133</v>
      </c>
      <c r="D10" s="79" t="s">
        <v>1132</v>
      </c>
      <c r="E10" s="25" t="s">
        <v>511</v>
      </c>
      <c r="F10" s="84">
        <v>8143.51</v>
      </c>
      <c r="G10" s="25">
        <v>57</v>
      </c>
      <c r="H10" s="24">
        <v>12</v>
      </c>
      <c r="I10" s="35">
        <v>44684</v>
      </c>
      <c r="J10" s="35"/>
      <c r="K10" s="35">
        <v>44726</v>
      </c>
    </row>
    <row r="11" spans="1:11" ht="31.5" x14ac:dyDescent="0.25">
      <c r="A11" s="24">
        <v>7</v>
      </c>
      <c r="B11" s="32" t="s">
        <v>504</v>
      </c>
      <c r="C11" s="27" t="s">
        <v>1135</v>
      </c>
      <c r="D11" s="27" t="s">
        <v>1134</v>
      </c>
      <c r="E11" s="98">
        <v>3704798634</v>
      </c>
      <c r="F11" s="99">
        <v>10948.36</v>
      </c>
      <c r="G11" s="98">
        <v>93</v>
      </c>
      <c r="H11" s="24">
        <v>5</v>
      </c>
      <c r="I11" s="35">
        <v>44691</v>
      </c>
      <c r="J11" s="35"/>
      <c r="K11" s="35">
        <v>45422</v>
      </c>
    </row>
    <row r="12" spans="1:11" ht="63" x14ac:dyDescent="0.25">
      <c r="A12" s="24">
        <v>8</v>
      </c>
      <c r="B12" s="32" t="s">
        <v>527</v>
      </c>
      <c r="C12" s="27" t="s">
        <v>1137</v>
      </c>
      <c r="D12" s="27" t="s">
        <v>1136</v>
      </c>
      <c r="E12" s="98">
        <v>1923682907</v>
      </c>
      <c r="F12" s="99" t="s">
        <v>510</v>
      </c>
      <c r="G12" s="98"/>
      <c r="H12" s="24"/>
      <c r="I12" s="99" t="s">
        <v>587</v>
      </c>
      <c r="J12" s="99"/>
      <c r="K12" s="99" t="s">
        <v>587</v>
      </c>
    </row>
    <row r="13" spans="1:11" ht="47.25" x14ac:dyDescent="0.25">
      <c r="A13" s="24">
        <v>9</v>
      </c>
      <c r="B13" s="32" t="s">
        <v>506</v>
      </c>
      <c r="C13" s="27" t="s">
        <v>793</v>
      </c>
      <c r="D13" s="27" t="s">
        <v>790</v>
      </c>
      <c r="E13" s="98" t="s">
        <v>507</v>
      </c>
      <c r="F13" s="99" t="s">
        <v>589</v>
      </c>
      <c r="G13" s="98">
        <v>128</v>
      </c>
      <c r="H13" s="24">
        <v>4</v>
      </c>
      <c r="I13" s="35">
        <v>44679</v>
      </c>
      <c r="J13" s="35"/>
      <c r="K13" s="35">
        <v>44985</v>
      </c>
    </row>
    <row r="14" spans="1:11" ht="31.5" x14ac:dyDescent="0.25">
      <c r="A14" s="24">
        <v>10</v>
      </c>
      <c r="B14" s="32" t="s">
        <v>508</v>
      </c>
      <c r="C14" s="27" t="s">
        <v>1139</v>
      </c>
      <c r="D14" s="27" t="s">
        <v>1138</v>
      </c>
      <c r="E14" s="98">
        <v>2220361349</v>
      </c>
      <c r="F14" s="99">
        <v>7495.49</v>
      </c>
      <c r="G14" s="98">
        <v>84</v>
      </c>
      <c r="H14" s="24">
        <v>12</v>
      </c>
      <c r="I14" s="35">
        <v>44720</v>
      </c>
      <c r="J14" s="35"/>
      <c r="K14" s="35">
        <v>45085</v>
      </c>
    </row>
    <row r="15" spans="1:11" ht="63" x14ac:dyDescent="0.25">
      <c r="A15" s="24">
        <v>11</v>
      </c>
      <c r="B15" s="32" t="s">
        <v>528</v>
      </c>
      <c r="C15" s="27" t="s">
        <v>1141</v>
      </c>
      <c r="D15" s="27" t="s">
        <v>1140</v>
      </c>
      <c r="E15" s="98">
        <v>3655024230</v>
      </c>
      <c r="F15" s="99">
        <v>20379.68</v>
      </c>
      <c r="G15" s="98">
        <v>312</v>
      </c>
      <c r="H15" s="24">
        <v>14</v>
      </c>
      <c r="I15" s="35">
        <v>44712</v>
      </c>
      <c r="J15" s="35"/>
      <c r="K15" s="35">
        <v>45168</v>
      </c>
    </row>
    <row r="16" spans="1:11" ht="78.75" x14ac:dyDescent="0.25">
      <c r="A16" s="24">
        <v>12</v>
      </c>
      <c r="B16" s="32" t="s">
        <v>588</v>
      </c>
      <c r="C16" s="27" t="s">
        <v>1143</v>
      </c>
      <c r="D16" s="27" t="s">
        <v>1142</v>
      </c>
      <c r="E16" s="98">
        <v>5758858727</v>
      </c>
      <c r="F16" s="99">
        <v>32324.54</v>
      </c>
      <c r="G16" s="98">
        <v>344</v>
      </c>
      <c r="H16" s="24">
        <v>10.119999999999999</v>
      </c>
      <c r="I16" s="35">
        <v>44736</v>
      </c>
      <c r="J16" s="35"/>
      <c r="K16" s="35">
        <v>44926</v>
      </c>
    </row>
    <row r="17" spans="1:11" ht="47.25" x14ac:dyDescent="0.25">
      <c r="A17" s="24">
        <v>13</v>
      </c>
      <c r="B17" s="32" t="s">
        <v>376</v>
      </c>
      <c r="C17" s="27" t="s">
        <v>1145</v>
      </c>
      <c r="D17" s="27" t="s">
        <v>1144</v>
      </c>
      <c r="E17" s="102">
        <v>2625205130</v>
      </c>
      <c r="F17" s="99">
        <v>14521.36</v>
      </c>
      <c r="G17" s="98">
        <v>136</v>
      </c>
      <c r="H17" s="24">
        <v>9</v>
      </c>
      <c r="I17" s="35">
        <v>44777</v>
      </c>
      <c r="J17" s="35"/>
      <c r="K17" s="35">
        <v>45059</v>
      </c>
    </row>
    <row r="18" spans="1:11" ht="78.75" x14ac:dyDescent="0.25">
      <c r="A18" s="24">
        <v>14</v>
      </c>
      <c r="B18" s="32" t="s">
        <v>591</v>
      </c>
      <c r="C18" s="27" t="s">
        <v>1147</v>
      </c>
      <c r="D18" s="27" t="s">
        <v>1146</v>
      </c>
      <c r="E18" s="102">
        <v>2282540061</v>
      </c>
      <c r="F18" s="99" t="s">
        <v>660</v>
      </c>
      <c r="G18" s="98">
        <v>180</v>
      </c>
      <c r="H18" s="24">
        <v>9</v>
      </c>
      <c r="I18" s="35">
        <v>44739</v>
      </c>
      <c r="J18" s="35"/>
      <c r="K18" s="35">
        <v>45012</v>
      </c>
    </row>
    <row r="19" spans="1:11" ht="47.25" x14ac:dyDescent="0.25">
      <c r="A19" s="24">
        <v>15</v>
      </c>
      <c r="B19" s="32" t="s">
        <v>505</v>
      </c>
      <c r="C19" s="27" t="s">
        <v>1178</v>
      </c>
      <c r="D19" s="27" t="s">
        <v>1130</v>
      </c>
      <c r="E19" s="98">
        <v>5663317430</v>
      </c>
      <c r="F19" s="26">
        <v>25644.240000000002</v>
      </c>
      <c r="G19" s="98">
        <v>208</v>
      </c>
      <c r="H19" s="24">
        <v>12</v>
      </c>
      <c r="I19" s="30">
        <v>44837</v>
      </c>
      <c r="J19" s="30"/>
      <c r="K19" s="30">
        <v>45141</v>
      </c>
    </row>
    <row r="20" spans="1:11" ht="63" x14ac:dyDescent="0.25">
      <c r="A20" s="24">
        <v>16</v>
      </c>
      <c r="B20" s="32" t="s">
        <v>674</v>
      </c>
      <c r="C20" s="27" t="s">
        <v>1192</v>
      </c>
      <c r="D20" s="27" t="s">
        <v>1191</v>
      </c>
      <c r="E20" s="98">
        <v>7777340509</v>
      </c>
      <c r="F20" s="99"/>
      <c r="G20" s="98"/>
      <c r="H20" s="24"/>
      <c r="I20" s="35"/>
      <c r="J20" s="35"/>
      <c r="K20" s="35"/>
    </row>
    <row r="21" spans="1:11" ht="31.5" x14ac:dyDescent="0.25">
      <c r="A21" s="24">
        <v>17</v>
      </c>
      <c r="B21" s="32" t="s">
        <v>675</v>
      </c>
      <c r="C21" s="27" t="s">
        <v>1194</v>
      </c>
      <c r="D21" s="27" t="s">
        <v>1193</v>
      </c>
      <c r="E21" s="98">
        <v>2088288586</v>
      </c>
      <c r="F21" s="99"/>
      <c r="G21" s="98">
        <v>42</v>
      </c>
      <c r="H21" s="24"/>
      <c r="I21" s="35"/>
      <c r="J21" s="35"/>
      <c r="K21" s="35"/>
    </row>
    <row r="22" spans="1:11" ht="31.5" x14ac:dyDescent="0.25">
      <c r="A22" s="24">
        <v>18</v>
      </c>
      <c r="B22" s="32" t="s">
        <v>1066</v>
      </c>
      <c r="C22" s="27" t="s">
        <v>1195</v>
      </c>
      <c r="D22" s="27" t="s">
        <v>942</v>
      </c>
      <c r="E22" s="98">
        <v>6536713477</v>
      </c>
      <c r="F22" s="99"/>
      <c r="G22" s="98"/>
      <c r="H22" s="24"/>
      <c r="I22" s="35"/>
      <c r="J22" s="35"/>
      <c r="K22" s="35"/>
    </row>
    <row r="23" spans="1:11" ht="15.75" x14ac:dyDescent="0.25">
      <c r="A23" s="24">
        <v>19</v>
      </c>
      <c r="B23" s="32" t="s">
        <v>1156</v>
      </c>
      <c r="C23" s="27" t="s">
        <v>1139</v>
      </c>
      <c r="D23" s="27" t="s">
        <v>1079</v>
      </c>
      <c r="E23" s="98">
        <v>3974338040</v>
      </c>
      <c r="F23" s="26">
        <v>13441.1</v>
      </c>
      <c r="G23" s="25">
        <v>132</v>
      </c>
      <c r="H23" s="24">
        <v>12</v>
      </c>
      <c r="I23" s="35">
        <v>44834</v>
      </c>
      <c r="J23" s="35"/>
      <c r="K23" s="35">
        <v>45199</v>
      </c>
    </row>
    <row r="24" spans="1:11" ht="15.75" x14ac:dyDescent="0.25">
      <c r="A24" s="24">
        <v>20</v>
      </c>
      <c r="B24" s="32" t="s">
        <v>1158</v>
      </c>
      <c r="C24" s="27" t="s">
        <v>1139</v>
      </c>
      <c r="D24" s="27" t="s">
        <v>1079</v>
      </c>
      <c r="E24" s="98">
        <v>4087535350</v>
      </c>
      <c r="F24" s="26">
        <v>13498.53</v>
      </c>
      <c r="G24" s="25">
        <v>144</v>
      </c>
      <c r="H24" s="24">
        <v>12</v>
      </c>
      <c r="I24" s="35">
        <v>44834</v>
      </c>
      <c r="J24" s="35"/>
      <c r="K24" s="35">
        <v>45199</v>
      </c>
    </row>
    <row r="25" spans="1:11" ht="31.5" x14ac:dyDescent="0.25">
      <c r="A25" s="24">
        <v>21</v>
      </c>
      <c r="B25" s="32" t="s">
        <v>675</v>
      </c>
      <c r="C25" s="27" t="s">
        <v>1194</v>
      </c>
      <c r="D25" s="27" t="s">
        <v>1193</v>
      </c>
      <c r="E25" s="98">
        <v>2088288586</v>
      </c>
      <c r="F25" s="99"/>
      <c r="G25" s="98">
        <v>42</v>
      </c>
      <c r="H25" s="24"/>
      <c r="I25" s="35"/>
      <c r="J25" s="35"/>
      <c r="K25" s="35"/>
    </row>
    <row r="26" spans="1:11" ht="18.75" x14ac:dyDescent="0.25">
      <c r="A26" s="89"/>
      <c r="B26" s="89" t="s">
        <v>54</v>
      </c>
      <c r="C26" s="89"/>
      <c r="D26" s="89"/>
      <c r="E26" s="90">
        <f>SUM(E5:E25)</f>
        <v>81559538706</v>
      </c>
      <c r="F26" s="90">
        <f>SUM(F5:F25)</f>
        <v>318379.42</v>
      </c>
      <c r="G26" s="90">
        <f>SUM(G5:G25)</f>
        <v>4101</v>
      </c>
      <c r="H26" s="89"/>
      <c r="I26" s="89"/>
      <c r="J26" s="89"/>
      <c r="K26" s="8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M25"/>
  <sheetViews>
    <sheetView zoomScale="70" zoomScaleNormal="70" workbookViewId="0">
      <selection activeCell="I36" sqref="I36"/>
    </sheetView>
  </sheetViews>
  <sheetFormatPr defaultColWidth="9.28515625" defaultRowHeight="15.75" x14ac:dyDescent="0.25"/>
  <cols>
    <col min="1" max="1" width="5.7109375" style="19" customWidth="1"/>
    <col min="2" max="2" width="58.42578125" style="19" customWidth="1"/>
    <col min="3" max="3" width="33.7109375" style="19" customWidth="1"/>
    <col min="4" max="4" width="62.7109375" style="19" customWidth="1"/>
    <col min="5" max="5" width="23.5703125" style="19" customWidth="1"/>
    <col min="6" max="6" width="20.7109375" style="19" customWidth="1"/>
    <col min="7" max="7" width="22.42578125" style="19" customWidth="1"/>
    <col min="8" max="8" width="18.28515625" style="19" customWidth="1"/>
    <col min="9" max="9" width="22.28515625" style="19" customWidth="1"/>
    <col min="10" max="10" width="25" style="19" hidden="1" customWidth="1"/>
    <col min="11" max="11" width="24.5703125" style="19" customWidth="1"/>
    <col min="12" max="12" width="25.140625" style="19" customWidth="1"/>
    <col min="13" max="13" width="15.7109375" style="19" customWidth="1"/>
    <col min="14" max="16" width="11.42578125" style="19" customWidth="1"/>
    <col min="17" max="16384" width="9.28515625" style="19"/>
  </cols>
  <sheetData>
    <row r="1" spans="1:13" ht="25.5" x14ac:dyDescent="0.25">
      <c r="A1" s="40"/>
      <c r="B1" s="20" t="s">
        <v>426</v>
      </c>
      <c r="C1" s="41"/>
      <c r="D1" s="41"/>
      <c r="E1" s="40" t="s">
        <v>17</v>
      </c>
      <c r="F1" s="40"/>
      <c r="G1" s="40"/>
      <c r="H1" s="40"/>
      <c r="I1" s="40"/>
      <c r="J1" s="40"/>
      <c r="K1" s="40"/>
      <c r="L1" s="40"/>
    </row>
    <row r="2" spans="1:13" ht="91.5" customHeight="1" x14ac:dyDescent="0.25">
      <c r="A2" s="21" t="s">
        <v>0</v>
      </c>
      <c r="B2" s="21" t="s">
        <v>24</v>
      </c>
      <c r="C2" s="21" t="s">
        <v>25</v>
      </c>
      <c r="D2" s="21" t="s">
        <v>530</v>
      </c>
      <c r="E2" s="21" t="s">
        <v>26</v>
      </c>
      <c r="F2" s="21" t="s">
        <v>27</v>
      </c>
      <c r="G2" s="21" t="s">
        <v>29</v>
      </c>
      <c r="H2" s="21" t="s">
        <v>56</v>
      </c>
      <c r="I2" s="21" t="s">
        <v>30</v>
      </c>
      <c r="J2" s="21" t="s">
        <v>32</v>
      </c>
      <c r="K2" s="21" t="s">
        <v>33</v>
      </c>
      <c r="L2" s="21" t="s">
        <v>34</v>
      </c>
    </row>
    <row r="3" spans="1:13" s="40" customFormat="1" ht="38.25" customHeight="1" x14ac:dyDescent="0.25">
      <c r="A3" s="678" t="s">
        <v>509</v>
      </c>
      <c r="B3" s="679"/>
      <c r="C3" s="680"/>
      <c r="D3" s="96"/>
      <c r="E3" s="43">
        <f>SUM(E4:E24)</f>
        <v>134531257231</v>
      </c>
      <c r="F3" s="43">
        <f>SUM(F4:F24)</f>
        <v>675333.56</v>
      </c>
      <c r="G3" s="43">
        <f>SUM(G4:G24)</f>
        <v>0</v>
      </c>
      <c r="H3" s="43"/>
      <c r="I3" s="43">
        <f>SUM(I4:I24)</f>
        <v>7166</v>
      </c>
      <c r="J3" s="43">
        <f>SUM(J5:J25)</f>
        <v>0</v>
      </c>
      <c r="K3" s="43"/>
      <c r="L3" s="43"/>
    </row>
    <row r="4" spans="1:13" ht="51" customHeight="1" x14ac:dyDescent="0.25">
      <c r="A4" s="22">
        <v>1</v>
      </c>
      <c r="B4" s="32" t="s">
        <v>442</v>
      </c>
      <c r="C4" s="79" t="s">
        <v>395</v>
      </c>
      <c r="D4" s="79" t="s">
        <v>531</v>
      </c>
      <c r="E4" s="25">
        <v>7890743167</v>
      </c>
      <c r="F4" s="33">
        <v>34762</v>
      </c>
      <c r="G4" s="36" t="s">
        <v>361</v>
      </c>
      <c r="H4" s="35">
        <v>44593</v>
      </c>
      <c r="I4" s="25">
        <v>430</v>
      </c>
      <c r="J4" s="34"/>
      <c r="K4" s="35">
        <v>44512</v>
      </c>
      <c r="L4" s="35">
        <v>45058</v>
      </c>
      <c r="M4" s="31"/>
    </row>
    <row r="5" spans="1:13" ht="54" customHeight="1" x14ac:dyDescent="0.25">
      <c r="A5" s="22">
        <v>2</v>
      </c>
      <c r="B5" s="23" t="s">
        <v>448</v>
      </c>
      <c r="C5" s="24" t="s">
        <v>117</v>
      </c>
      <c r="D5" s="24" t="s">
        <v>534</v>
      </c>
      <c r="E5" s="25">
        <v>2000270939</v>
      </c>
      <c r="F5" s="33">
        <v>11172.5</v>
      </c>
      <c r="G5" s="36" t="s">
        <v>404</v>
      </c>
      <c r="H5" s="35">
        <v>44601</v>
      </c>
      <c r="I5" s="25">
        <v>144</v>
      </c>
      <c r="J5" s="34"/>
      <c r="K5" s="35">
        <v>44455</v>
      </c>
      <c r="L5" s="35">
        <v>45001</v>
      </c>
      <c r="M5" s="31"/>
    </row>
    <row r="6" spans="1:13" ht="59.25" customHeight="1" x14ac:dyDescent="0.25">
      <c r="A6" s="22" t="s">
        <v>28</v>
      </c>
      <c r="B6" s="23" t="s">
        <v>443</v>
      </c>
      <c r="C6" s="24" t="s">
        <v>409</v>
      </c>
      <c r="D6" s="24" t="s">
        <v>543</v>
      </c>
      <c r="E6" s="25">
        <v>173419099</v>
      </c>
      <c r="F6" s="33">
        <v>0</v>
      </c>
      <c r="G6" s="36" t="s">
        <v>28</v>
      </c>
      <c r="H6" s="35">
        <v>44223</v>
      </c>
      <c r="I6" s="25">
        <v>0</v>
      </c>
      <c r="J6" s="34"/>
      <c r="K6" s="35">
        <v>44516</v>
      </c>
      <c r="L6" s="35">
        <v>44825</v>
      </c>
      <c r="M6" s="31"/>
    </row>
    <row r="7" spans="1:13" ht="59.25" customHeight="1" x14ac:dyDescent="0.25">
      <c r="A7" s="22" t="s">
        <v>28</v>
      </c>
      <c r="B7" s="23" t="s">
        <v>444</v>
      </c>
      <c r="C7" s="24" t="s">
        <v>410</v>
      </c>
      <c r="D7" s="24" t="s">
        <v>543</v>
      </c>
      <c r="E7" s="25">
        <v>269027742</v>
      </c>
      <c r="F7" s="33">
        <v>0</v>
      </c>
      <c r="G7" s="36" t="s">
        <v>28</v>
      </c>
      <c r="H7" s="35">
        <v>44223</v>
      </c>
      <c r="I7" s="25">
        <v>0</v>
      </c>
      <c r="J7" s="34"/>
      <c r="K7" s="35">
        <v>44441</v>
      </c>
      <c r="L7" s="35">
        <v>44973</v>
      </c>
      <c r="M7" s="31"/>
    </row>
    <row r="8" spans="1:13" ht="52.5" customHeight="1" x14ac:dyDescent="0.25">
      <c r="A8" s="22">
        <v>3</v>
      </c>
      <c r="B8" s="32" t="s">
        <v>449</v>
      </c>
      <c r="C8" s="79" t="s">
        <v>393</v>
      </c>
      <c r="D8" s="24" t="s">
        <v>532</v>
      </c>
      <c r="E8" s="25">
        <v>5287558285</v>
      </c>
      <c r="F8" s="33">
        <v>25590</v>
      </c>
      <c r="G8" s="36" t="s">
        <v>399</v>
      </c>
      <c r="H8" s="35">
        <v>44607</v>
      </c>
      <c r="I8" s="25">
        <v>322</v>
      </c>
      <c r="J8" s="34"/>
      <c r="K8" s="35">
        <v>44483</v>
      </c>
      <c r="L8" s="35">
        <v>45030</v>
      </c>
      <c r="M8" s="31"/>
    </row>
    <row r="9" spans="1:13" ht="59.25" customHeight="1" x14ac:dyDescent="0.25">
      <c r="A9" s="22">
        <v>4</v>
      </c>
      <c r="B9" s="32" t="s">
        <v>450</v>
      </c>
      <c r="C9" s="24" t="s">
        <v>402</v>
      </c>
      <c r="D9" s="24" t="s">
        <v>535</v>
      </c>
      <c r="E9" s="25">
        <v>9298035436</v>
      </c>
      <c r="F9" s="33">
        <v>30052.3</v>
      </c>
      <c r="G9" s="36" t="s">
        <v>403</v>
      </c>
      <c r="H9" s="35">
        <v>44603</v>
      </c>
      <c r="I9" s="25">
        <v>280</v>
      </c>
      <c r="J9" s="34"/>
      <c r="K9" s="35">
        <v>44551</v>
      </c>
      <c r="L9" s="35">
        <v>45067</v>
      </c>
      <c r="M9" s="31"/>
    </row>
    <row r="10" spans="1:13" ht="68.25" customHeight="1" x14ac:dyDescent="0.25">
      <c r="A10" s="22">
        <v>5</v>
      </c>
      <c r="B10" s="32" t="s">
        <v>451</v>
      </c>
      <c r="C10" s="79" t="s">
        <v>396</v>
      </c>
      <c r="D10" s="79" t="s">
        <v>533</v>
      </c>
      <c r="E10" s="25">
        <v>10967277322</v>
      </c>
      <c r="F10" s="33">
        <v>36026.400000000001</v>
      </c>
      <c r="G10" s="36" t="s">
        <v>397</v>
      </c>
      <c r="H10" s="35">
        <v>44603</v>
      </c>
      <c r="I10" s="25">
        <v>304</v>
      </c>
      <c r="J10" s="34"/>
      <c r="K10" s="35">
        <v>44516</v>
      </c>
      <c r="L10" s="35">
        <v>44973</v>
      </c>
      <c r="M10" s="31"/>
    </row>
    <row r="11" spans="1:13" ht="71.25" customHeight="1" x14ac:dyDescent="0.25">
      <c r="A11" s="22">
        <v>6</v>
      </c>
      <c r="B11" s="32" t="s">
        <v>454</v>
      </c>
      <c r="C11" s="24" t="s">
        <v>440</v>
      </c>
      <c r="D11" s="24" t="s">
        <v>536</v>
      </c>
      <c r="E11" s="25">
        <v>6818945553</v>
      </c>
      <c r="F11" s="33">
        <v>33535.279999999999</v>
      </c>
      <c r="G11" s="36" t="s">
        <v>406</v>
      </c>
      <c r="H11" s="35">
        <v>44613</v>
      </c>
      <c r="I11" s="25">
        <v>308</v>
      </c>
      <c r="J11" s="34"/>
      <c r="K11" s="35">
        <v>44550</v>
      </c>
      <c r="L11" s="35">
        <v>45170</v>
      </c>
      <c r="M11" s="31"/>
    </row>
    <row r="12" spans="1:13" ht="51.75" customHeight="1" x14ac:dyDescent="0.25">
      <c r="A12" s="22">
        <v>7</v>
      </c>
      <c r="B12" s="32" t="s">
        <v>461</v>
      </c>
      <c r="C12" s="24" t="s">
        <v>439</v>
      </c>
      <c r="D12" s="24" t="s">
        <v>537</v>
      </c>
      <c r="E12" s="25">
        <v>2548284320</v>
      </c>
      <c r="F12" s="33">
        <v>19437.099999999999</v>
      </c>
      <c r="G12" s="36" t="s">
        <v>441</v>
      </c>
      <c r="H12" s="35">
        <v>44624</v>
      </c>
      <c r="I12" s="25">
        <v>207</v>
      </c>
      <c r="J12" s="34"/>
      <c r="K12" s="35">
        <v>44539</v>
      </c>
      <c r="L12" s="35">
        <v>44904</v>
      </c>
      <c r="M12" s="31"/>
    </row>
    <row r="13" spans="1:13" ht="69.75" customHeight="1" x14ac:dyDescent="0.25">
      <c r="A13" s="22">
        <v>8</v>
      </c>
      <c r="B13" s="32" t="s">
        <v>465</v>
      </c>
      <c r="C13" s="24" t="s">
        <v>446</v>
      </c>
      <c r="D13" s="24" t="s">
        <v>536</v>
      </c>
      <c r="E13" s="25">
        <v>2448882300</v>
      </c>
      <c r="F13" s="33">
        <v>17982.62</v>
      </c>
      <c r="G13" s="36" t="s">
        <v>447</v>
      </c>
      <c r="H13" s="35">
        <v>44651</v>
      </c>
      <c r="I13" s="25">
        <v>180</v>
      </c>
      <c r="J13" s="44"/>
      <c r="K13" s="35">
        <v>44581</v>
      </c>
      <c r="L13" s="35">
        <v>45280</v>
      </c>
      <c r="M13" s="31"/>
    </row>
    <row r="14" spans="1:13" ht="59.25" customHeight="1" x14ac:dyDescent="0.25">
      <c r="A14" s="22">
        <v>9</v>
      </c>
      <c r="B14" s="32" t="s">
        <v>464</v>
      </c>
      <c r="C14" s="24" t="s">
        <v>436</v>
      </c>
      <c r="D14" s="24" t="s">
        <v>534</v>
      </c>
      <c r="E14" s="25">
        <v>15001173485</v>
      </c>
      <c r="F14" s="33">
        <v>137578.6</v>
      </c>
      <c r="G14" s="36" t="s">
        <v>438</v>
      </c>
      <c r="H14" s="35">
        <v>44651</v>
      </c>
      <c r="I14" s="25">
        <v>1388</v>
      </c>
      <c r="J14" s="44"/>
      <c r="K14" s="35">
        <v>44575</v>
      </c>
      <c r="L14" s="35">
        <v>45183</v>
      </c>
      <c r="M14" s="31"/>
    </row>
    <row r="15" spans="1:13" ht="59.25" customHeight="1" x14ac:dyDescent="0.25">
      <c r="A15" s="22">
        <v>10</v>
      </c>
      <c r="B15" s="32" t="s">
        <v>471</v>
      </c>
      <c r="C15" s="24" t="s">
        <v>431</v>
      </c>
      <c r="D15" s="24" t="s">
        <v>538</v>
      </c>
      <c r="E15" s="25">
        <v>8250830654</v>
      </c>
      <c r="F15" s="33">
        <v>41968.4</v>
      </c>
      <c r="G15" s="36" t="s">
        <v>434</v>
      </c>
      <c r="H15" s="35">
        <v>44664</v>
      </c>
      <c r="I15" s="25">
        <v>272</v>
      </c>
      <c r="J15" s="44"/>
      <c r="K15" s="35">
        <v>44512</v>
      </c>
      <c r="L15" s="35">
        <v>45119</v>
      </c>
      <c r="M15" s="31"/>
    </row>
    <row r="16" spans="1:13" ht="59.25" customHeight="1" x14ac:dyDescent="0.25">
      <c r="A16" s="22">
        <v>11</v>
      </c>
      <c r="B16" s="32" t="s">
        <v>492</v>
      </c>
      <c r="C16" s="79" t="s">
        <v>466</v>
      </c>
      <c r="D16" s="79" t="s">
        <v>539</v>
      </c>
      <c r="E16" s="25">
        <v>4953473000</v>
      </c>
      <c r="F16" s="33">
        <v>11900.4</v>
      </c>
      <c r="G16" s="36" t="s">
        <v>467</v>
      </c>
      <c r="H16" s="35">
        <v>44711</v>
      </c>
      <c r="I16" s="25">
        <v>63</v>
      </c>
      <c r="J16" s="34"/>
      <c r="K16" s="35">
        <v>44602</v>
      </c>
      <c r="L16" s="35">
        <v>44967</v>
      </c>
      <c r="M16" s="31"/>
    </row>
    <row r="17" spans="1:13" ht="59.25" customHeight="1" thickBot="1" x14ac:dyDescent="0.3">
      <c r="A17" s="86">
        <v>12</v>
      </c>
      <c r="B17" s="61" t="s">
        <v>462</v>
      </c>
      <c r="C17" s="62" t="s">
        <v>432</v>
      </c>
      <c r="D17" s="62" t="s">
        <v>540</v>
      </c>
      <c r="E17" s="78">
        <v>1748059801</v>
      </c>
      <c r="F17" s="87">
        <v>12721.2</v>
      </c>
      <c r="G17" s="62" t="s">
        <v>435</v>
      </c>
      <c r="H17" s="64">
        <v>44635</v>
      </c>
      <c r="I17" s="62">
        <v>190</v>
      </c>
      <c r="J17" s="62"/>
      <c r="K17" s="64">
        <v>44515</v>
      </c>
      <c r="L17" s="63" t="s">
        <v>486</v>
      </c>
      <c r="M17" s="31"/>
    </row>
    <row r="18" spans="1:13" ht="59.25" customHeight="1" x14ac:dyDescent="0.25">
      <c r="A18" s="22">
        <v>13</v>
      </c>
      <c r="B18" s="32" t="s">
        <v>499</v>
      </c>
      <c r="C18" s="79" t="s">
        <v>477</v>
      </c>
      <c r="D18" s="79" t="s">
        <v>545</v>
      </c>
      <c r="E18" s="25">
        <v>3117473358</v>
      </c>
      <c r="F18" s="84">
        <v>17698.62</v>
      </c>
      <c r="G18" s="36" t="s">
        <v>478</v>
      </c>
      <c r="H18" s="85" t="s">
        <v>485</v>
      </c>
      <c r="I18" s="25">
        <v>233</v>
      </c>
      <c r="J18" s="34"/>
      <c r="K18" s="35">
        <v>44657</v>
      </c>
      <c r="L18" s="35">
        <v>44991</v>
      </c>
      <c r="M18" s="31"/>
    </row>
    <row r="19" spans="1:13" ht="66" customHeight="1" x14ac:dyDescent="0.25">
      <c r="A19" s="22">
        <v>14</v>
      </c>
      <c r="B19" s="32" t="s">
        <v>500</v>
      </c>
      <c r="C19" s="79" t="s">
        <v>195</v>
      </c>
      <c r="D19" s="24" t="s">
        <v>536</v>
      </c>
      <c r="E19" s="25">
        <v>4456001883</v>
      </c>
      <c r="F19" s="33">
        <v>17166.599999999999</v>
      </c>
      <c r="G19" s="36" t="s">
        <v>456</v>
      </c>
      <c r="H19" s="85" t="s">
        <v>485</v>
      </c>
      <c r="I19" s="25">
        <v>275</v>
      </c>
      <c r="J19" s="34"/>
      <c r="K19" s="35">
        <v>44622</v>
      </c>
      <c r="L19" s="35">
        <v>45537</v>
      </c>
      <c r="M19" s="31"/>
    </row>
    <row r="20" spans="1:13" ht="69" customHeight="1" x14ac:dyDescent="0.25">
      <c r="A20" s="22">
        <v>15</v>
      </c>
      <c r="B20" s="32" t="s">
        <v>501</v>
      </c>
      <c r="C20" s="79" t="s">
        <v>60</v>
      </c>
      <c r="D20" s="24" t="s">
        <v>536</v>
      </c>
      <c r="E20" s="25">
        <v>5572491510</v>
      </c>
      <c r="F20" s="84">
        <v>28746.6</v>
      </c>
      <c r="G20" s="36" t="s">
        <v>472</v>
      </c>
      <c r="H20" s="85" t="s">
        <v>485</v>
      </c>
      <c r="I20" s="25">
        <v>244</v>
      </c>
      <c r="J20" s="34"/>
      <c r="K20" s="35">
        <v>44582</v>
      </c>
      <c r="L20" s="35">
        <v>45281</v>
      </c>
      <c r="M20" s="31"/>
    </row>
    <row r="21" spans="1:13" ht="57.75" customHeight="1" x14ac:dyDescent="0.25">
      <c r="A21" s="22">
        <v>16</v>
      </c>
      <c r="B21" s="32" t="s">
        <v>512</v>
      </c>
      <c r="C21" s="79" t="s">
        <v>483</v>
      </c>
      <c r="D21" s="79" t="s">
        <v>546</v>
      </c>
      <c r="E21" s="25">
        <v>3490772674</v>
      </c>
      <c r="F21" s="84">
        <v>15830.1</v>
      </c>
      <c r="G21" s="36" t="s">
        <v>484</v>
      </c>
      <c r="H21" s="85" t="s">
        <v>485</v>
      </c>
      <c r="I21" s="25">
        <v>194</v>
      </c>
      <c r="J21" s="34"/>
      <c r="K21" s="35">
        <v>44656</v>
      </c>
      <c r="L21" s="35">
        <v>44900</v>
      </c>
      <c r="M21" s="31"/>
    </row>
    <row r="22" spans="1:13" ht="42" customHeight="1" x14ac:dyDescent="0.25">
      <c r="A22" s="22">
        <v>17</v>
      </c>
      <c r="B22" s="32" t="s">
        <v>513</v>
      </c>
      <c r="C22" s="13" t="s">
        <v>479</v>
      </c>
      <c r="D22" s="13" t="s">
        <v>542</v>
      </c>
      <c r="E22" s="25">
        <v>1254168086</v>
      </c>
      <c r="F22" s="84">
        <v>4352.5</v>
      </c>
      <c r="G22" s="36" t="s">
        <v>480</v>
      </c>
      <c r="H22" s="85" t="s">
        <v>485</v>
      </c>
      <c r="I22" s="25">
        <v>58</v>
      </c>
      <c r="J22" s="34"/>
      <c r="K22" s="35">
        <v>44649</v>
      </c>
      <c r="L22" s="35">
        <v>44955</v>
      </c>
      <c r="M22" s="31"/>
    </row>
    <row r="23" spans="1:13" ht="53.25" customHeight="1" x14ac:dyDescent="0.25">
      <c r="A23" s="22">
        <v>18</v>
      </c>
      <c r="B23" s="32" t="s">
        <v>514</v>
      </c>
      <c r="C23" s="13" t="s">
        <v>481</v>
      </c>
      <c r="D23" s="13" t="s">
        <v>544</v>
      </c>
      <c r="E23" s="25">
        <v>21841445585</v>
      </c>
      <c r="F23" s="84">
        <v>114093.4</v>
      </c>
      <c r="G23" s="36" t="s">
        <v>482</v>
      </c>
      <c r="H23" s="85" t="s">
        <v>485</v>
      </c>
      <c r="I23" s="25">
        <v>1040</v>
      </c>
      <c r="J23" s="34"/>
      <c r="K23" s="35">
        <v>44526</v>
      </c>
      <c r="L23" s="35">
        <v>44983</v>
      </c>
      <c r="M23" s="31"/>
    </row>
    <row r="24" spans="1:13" ht="59.25" customHeight="1" x14ac:dyDescent="0.25">
      <c r="A24" s="22">
        <v>19</v>
      </c>
      <c r="B24" s="32" t="s">
        <v>526</v>
      </c>
      <c r="C24" s="24" t="s">
        <v>468</v>
      </c>
      <c r="D24" s="24" t="s">
        <v>541</v>
      </c>
      <c r="E24" s="25">
        <v>17142923032</v>
      </c>
      <c r="F24" s="84">
        <v>64718.94</v>
      </c>
      <c r="G24" s="36" t="s">
        <v>469</v>
      </c>
      <c r="H24" s="85" t="s">
        <v>485</v>
      </c>
      <c r="I24" s="25">
        <v>1034</v>
      </c>
      <c r="J24" s="34"/>
      <c r="K24" s="35">
        <v>44524</v>
      </c>
      <c r="L24" s="35">
        <v>45162</v>
      </c>
      <c r="M24" s="31"/>
    </row>
    <row r="25" spans="1:13" ht="15" customHeight="1" x14ac:dyDescent="0.25">
      <c r="A25" s="80"/>
      <c r="B25" s="45"/>
      <c r="C25" s="49"/>
      <c r="D25" s="49"/>
      <c r="E25" s="46"/>
      <c r="F25" s="95"/>
      <c r="G25" s="55"/>
      <c r="H25" s="47"/>
      <c r="I25" s="46"/>
      <c r="J25" s="83"/>
      <c r="K25" s="48"/>
      <c r="L25" s="48"/>
      <c r="M25" s="31"/>
    </row>
  </sheetData>
  <mergeCells count="1">
    <mergeCell ref="A3:C3"/>
  </mergeCells>
  <pageMargins left="0.23622047244094491" right="0.15748031496062992" top="0.43307086614173229" bottom="0.47244094488188981" header="0.31496062992125984" footer="0.31496062992125984"/>
  <pageSetup paperSize="9" scale="35" fitToHeight="0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L78"/>
  <sheetViews>
    <sheetView zoomScale="70" zoomScaleNormal="70" workbookViewId="0">
      <selection activeCell="D5" sqref="D5"/>
    </sheetView>
  </sheetViews>
  <sheetFormatPr defaultColWidth="9.28515625" defaultRowHeight="15.75" x14ac:dyDescent="0.25"/>
  <cols>
    <col min="1" max="1" width="5.7109375" style="19" customWidth="1"/>
    <col min="2" max="2" width="58.42578125" style="19" customWidth="1"/>
    <col min="3" max="3" width="33.7109375" style="19" customWidth="1"/>
    <col min="4" max="4" width="63.85546875" style="19" customWidth="1"/>
    <col min="5" max="5" width="23.5703125" style="19" customWidth="1"/>
    <col min="6" max="6" width="20.7109375" style="19" customWidth="1"/>
    <col min="7" max="7" width="22.42578125" style="19" customWidth="1"/>
    <col min="8" max="8" width="20.7109375" style="19" customWidth="1"/>
    <col min="9" max="9" width="22.28515625" style="19" customWidth="1"/>
    <col min="10" max="10" width="33.7109375" style="19" customWidth="1"/>
    <col min="11" max="11" width="29.85546875" style="19" customWidth="1"/>
    <col min="12" max="12" width="15.7109375" style="19" customWidth="1"/>
    <col min="13" max="15" width="11.42578125" style="19" customWidth="1"/>
    <col min="16" max="16384" width="9.28515625" style="19"/>
  </cols>
  <sheetData>
    <row r="1" spans="1:12" ht="59.25" customHeight="1" x14ac:dyDescent="0.25">
      <c r="A1" s="40"/>
      <c r="B1" s="20" t="s">
        <v>55</v>
      </c>
      <c r="C1" s="41"/>
      <c r="D1" s="49"/>
      <c r="E1" s="46"/>
      <c r="F1" s="95"/>
      <c r="G1" s="55"/>
      <c r="H1" s="47"/>
      <c r="I1" s="46"/>
      <c r="J1" s="48"/>
      <c r="K1" s="48"/>
      <c r="L1" s="31"/>
    </row>
    <row r="2" spans="1:12" ht="87.75" customHeight="1" x14ac:dyDescent="0.25">
      <c r="A2" s="21" t="s">
        <v>0</v>
      </c>
      <c r="B2" s="21" t="s">
        <v>24</v>
      </c>
      <c r="C2" s="21" t="s">
        <v>25</v>
      </c>
      <c r="D2" s="21" t="s">
        <v>530</v>
      </c>
      <c r="E2" s="21" t="s">
        <v>26</v>
      </c>
      <c r="F2" s="21" t="s">
        <v>27</v>
      </c>
      <c r="G2" s="21" t="s">
        <v>29</v>
      </c>
      <c r="H2" s="21" t="s">
        <v>56</v>
      </c>
      <c r="I2" s="21" t="s">
        <v>30</v>
      </c>
      <c r="J2" s="21" t="s">
        <v>33</v>
      </c>
      <c r="K2" s="21" t="s">
        <v>34</v>
      </c>
    </row>
    <row r="3" spans="1:12" ht="44.25" customHeight="1" x14ac:dyDescent="0.25">
      <c r="A3" s="681" t="s">
        <v>413</v>
      </c>
      <c r="B3" s="681"/>
      <c r="C3" s="681"/>
      <c r="D3" s="96"/>
      <c r="E3" s="42">
        <f>SUM(E4:E78)</f>
        <v>392436865670</v>
      </c>
      <c r="F3" s="42">
        <f>SUM(F4:F78)</f>
        <v>2171485.87</v>
      </c>
      <c r="G3" s="42">
        <f>SUM(G4:G78)</f>
        <v>0</v>
      </c>
      <c r="H3" s="42">
        <f>SUM(H4:H78)</f>
        <v>3330588</v>
      </c>
      <c r="I3" s="42">
        <f>SUM(I4:I78)</f>
        <v>23598</v>
      </c>
      <c r="J3" s="42"/>
      <c r="K3" s="42"/>
    </row>
    <row r="4" spans="1:12" ht="39" customHeight="1" x14ac:dyDescent="0.25">
      <c r="A4" s="22">
        <v>1</v>
      </c>
      <c r="B4" s="32" t="s">
        <v>329</v>
      </c>
      <c r="C4" s="13" t="s">
        <v>215</v>
      </c>
      <c r="D4" s="13" t="s">
        <v>548</v>
      </c>
      <c r="E4" s="25">
        <v>2492600422</v>
      </c>
      <c r="F4" s="33">
        <v>15760.1</v>
      </c>
      <c r="G4" s="27" t="s">
        <v>58</v>
      </c>
      <c r="H4" s="35">
        <v>44230</v>
      </c>
      <c r="I4" s="25">
        <v>167</v>
      </c>
      <c r="J4" s="35">
        <v>44166</v>
      </c>
      <c r="K4" s="35">
        <v>44804</v>
      </c>
    </row>
    <row r="5" spans="1:12" ht="69" customHeight="1" x14ac:dyDescent="0.25">
      <c r="A5" s="22">
        <v>2</v>
      </c>
      <c r="B5" s="32" t="s">
        <v>328</v>
      </c>
      <c r="C5" s="24" t="s">
        <v>59</v>
      </c>
      <c r="D5" s="24" t="s">
        <v>549</v>
      </c>
      <c r="E5" s="25">
        <v>7334042282</v>
      </c>
      <c r="F5" s="26">
        <v>28156.3</v>
      </c>
      <c r="G5" s="27" t="s">
        <v>367</v>
      </c>
      <c r="H5" s="35">
        <v>44244</v>
      </c>
      <c r="I5" s="28">
        <v>198</v>
      </c>
      <c r="J5" s="29">
        <v>44111</v>
      </c>
      <c r="K5" s="35">
        <v>44780</v>
      </c>
    </row>
    <row r="6" spans="1:12" ht="75" customHeight="1" x14ac:dyDescent="0.25">
      <c r="A6" s="22">
        <v>3</v>
      </c>
      <c r="B6" s="32" t="s">
        <v>326</v>
      </c>
      <c r="C6" s="79" t="s">
        <v>60</v>
      </c>
      <c r="D6" s="24" t="s">
        <v>536</v>
      </c>
      <c r="E6" s="25">
        <v>2762404808</v>
      </c>
      <c r="F6" s="33">
        <v>17400.61</v>
      </c>
      <c r="G6" s="24" t="s">
        <v>61</v>
      </c>
      <c r="H6" s="35">
        <v>44239</v>
      </c>
      <c r="I6" s="25">
        <v>136</v>
      </c>
      <c r="J6" s="35">
        <v>44187</v>
      </c>
      <c r="K6" s="35">
        <v>44795</v>
      </c>
    </row>
    <row r="7" spans="1:12" ht="43.5" customHeight="1" x14ac:dyDescent="0.25">
      <c r="A7" s="22">
        <v>4</v>
      </c>
      <c r="B7" s="32" t="s">
        <v>327</v>
      </c>
      <c r="C7" s="79" t="s">
        <v>62</v>
      </c>
      <c r="D7" s="24" t="s">
        <v>550</v>
      </c>
      <c r="E7" s="25">
        <v>3336486162</v>
      </c>
      <c r="F7" s="25">
        <v>16227.57</v>
      </c>
      <c r="G7" s="25" t="s">
        <v>63</v>
      </c>
      <c r="H7" s="25">
        <v>44251</v>
      </c>
      <c r="I7" s="25">
        <v>160</v>
      </c>
      <c r="J7" s="35">
        <v>44158</v>
      </c>
      <c r="K7" s="53" t="s">
        <v>445</v>
      </c>
    </row>
    <row r="8" spans="1:12" ht="63.75" customHeight="1" x14ac:dyDescent="0.25">
      <c r="A8" s="22">
        <v>5</v>
      </c>
      <c r="B8" s="32" t="s">
        <v>414</v>
      </c>
      <c r="C8" s="79" t="s">
        <v>68</v>
      </c>
      <c r="D8" s="24" t="s">
        <v>536</v>
      </c>
      <c r="E8" s="25">
        <v>2435069335</v>
      </c>
      <c r="F8" s="25">
        <v>16551</v>
      </c>
      <c r="G8" s="25" t="s">
        <v>69</v>
      </c>
      <c r="H8" s="25">
        <v>44256</v>
      </c>
      <c r="I8" s="25">
        <v>144</v>
      </c>
      <c r="J8" s="35">
        <v>43964</v>
      </c>
      <c r="K8" s="53" t="s">
        <v>415</v>
      </c>
    </row>
    <row r="9" spans="1:12" ht="78.75" customHeight="1" x14ac:dyDescent="0.25">
      <c r="A9" s="22">
        <v>6</v>
      </c>
      <c r="B9" s="32" t="s">
        <v>236</v>
      </c>
      <c r="C9" s="79" t="s">
        <v>65</v>
      </c>
      <c r="D9" s="24" t="s">
        <v>536</v>
      </c>
      <c r="E9" s="25">
        <v>3481930375</v>
      </c>
      <c r="F9" s="25">
        <v>17098.46</v>
      </c>
      <c r="G9" s="25" t="s">
        <v>66</v>
      </c>
      <c r="H9" s="25">
        <v>44256</v>
      </c>
      <c r="I9" s="25">
        <v>80</v>
      </c>
      <c r="J9" s="58" t="s">
        <v>67</v>
      </c>
      <c r="K9" s="53" t="s">
        <v>415</v>
      </c>
    </row>
    <row r="10" spans="1:12" ht="54.75" customHeight="1" x14ac:dyDescent="0.25">
      <c r="A10" s="22">
        <v>7</v>
      </c>
      <c r="B10" s="32" t="s">
        <v>325</v>
      </c>
      <c r="C10" s="79" t="s">
        <v>70</v>
      </c>
      <c r="D10" s="24" t="s">
        <v>551</v>
      </c>
      <c r="E10" s="25">
        <v>4039352205</v>
      </c>
      <c r="F10" s="25">
        <v>47954.7</v>
      </c>
      <c r="G10" s="25" t="s">
        <v>71</v>
      </c>
      <c r="H10" s="25">
        <v>44257</v>
      </c>
      <c r="I10" s="25">
        <v>353</v>
      </c>
      <c r="J10" s="35">
        <v>44119</v>
      </c>
      <c r="K10" s="29">
        <v>44757</v>
      </c>
    </row>
    <row r="11" spans="1:12" ht="68.25" customHeight="1" x14ac:dyDescent="0.25">
      <c r="A11" s="22">
        <v>8</v>
      </c>
      <c r="B11" s="32" t="s">
        <v>186</v>
      </c>
      <c r="C11" s="79" t="s">
        <v>45</v>
      </c>
      <c r="D11" s="24" t="s">
        <v>536</v>
      </c>
      <c r="E11" s="25">
        <v>3619711613</v>
      </c>
      <c r="F11" s="25">
        <v>21468.49</v>
      </c>
      <c r="G11" s="25" t="s">
        <v>46</v>
      </c>
      <c r="H11" s="25">
        <v>44285</v>
      </c>
      <c r="I11" s="25">
        <v>141</v>
      </c>
      <c r="J11" s="35">
        <v>44224</v>
      </c>
      <c r="K11" s="35">
        <v>44862</v>
      </c>
    </row>
    <row r="12" spans="1:12" ht="65.25" customHeight="1" x14ac:dyDescent="0.25">
      <c r="A12" s="22">
        <v>9</v>
      </c>
      <c r="B12" s="32" t="s">
        <v>185</v>
      </c>
      <c r="C12" s="79" t="s">
        <v>48</v>
      </c>
      <c r="D12" s="24" t="s">
        <v>549</v>
      </c>
      <c r="E12" s="25">
        <v>5890831329</v>
      </c>
      <c r="F12" s="25">
        <v>29839.25</v>
      </c>
      <c r="G12" s="25" t="s">
        <v>49</v>
      </c>
      <c r="H12" s="25">
        <v>44287</v>
      </c>
      <c r="I12" s="25">
        <v>256</v>
      </c>
      <c r="J12" s="35">
        <v>44239</v>
      </c>
      <c r="K12" s="53" t="s">
        <v>487</v>
      </c>
    </row>
    <row r="13" spans="1:12" ht="65.25" customHeight="1" x14ac:dyDescent="0.25">
      <c r="A13" s="22">
        <v>10</v>
      </c>
      <c r="B13" s="32" t="s">
        <v>190</v>
      </c>
      <c r="C13" s="79" t="s">
        <v>50</v>
      </c>
      <c r="D13" s="24" t="s">
        <v>549</v>
      </c>
      <c r="E13" s="25">
        <v>9031081158</v>
      </c>
      <c r="F13" s="25">
        <v>51904.6</v>
      </c>
      <c r="G13" s="25" t="s">
        <v>51</v>
      </c>
      <c r="H13" s="25">
        <v>44287</v>
      </c>
      <c r="I13" s="25">
        <v>400</v>
      </c>
      <c r="J13" s="35">
        <v>44240</v>
      </c>
      <c r="K13" s="29">
        <v>45029</v>
      </c>
    </row>
    <row r="14" spans="1:12" ht="62.25" customHeight="1" x14ac:dyDescent="0.25">
      <c r="A14" s="22">
        <v>11</v>
      </c>
      <c r="B14" s="32" t="s">
        <v>203</v>
      </c>
      <c r="C14" s="79" t="s">
        <v>204</v>
      </c>
      <c r="D14" s="24" t="s">
        <v>536</v>
      </c>
      <c r="E14" s="25">
        <v>3158014308</v>
      </c>
      <c r="F14" s="25">
        <v>20590.2</v>
      </c>
      <c r="G14" s="25" t="s">
        <v>184</v>
      </c>
      <c r="H14" s="25">
        <v>44295</v>
      </c>
      <c r="I14" s="25">
        <v>94</v>
      </c>
      <c r="J14" s="35">
        <v>44224</v>
      </c>
      <c r="K14" s="35">
        <v>44833</v>
      </c>
    </row>
    <row r="15" spans="1:12" ht="72.75" customHeight="1" x14ac:dyDescent="0.25">
      <c r="A15" s="22">
        <v>12</v>
      </c>
      <c r="B15" s="32" t="s">
        <v>202</v>
      </c>
      <c r="C15" s="79" t="s">
        <v>112</v>
      </c>
      <c r="D15" s="24" t="s">
        <v>552</v>
      </c>
      <c r="E15" s="25">
        <v>6168900838</v>
      </c>
      <c r="F15" s="25">
        <v>28382.78</v>
      </c>
      <c r="G15" s="25" t="s">
        <v>188</v>
      </c>
      <c r="H15" s="25">
        <v>44300</v>
      </c>
      <c r="I15" s="25">
        <v>476</v>
      </c>
      <c r="J15" s="35">
        <v>44218</v>
      </c>
      <c r="K15" s="35">
        <v>44856</v>
      </c>
    </row>
    <row r="16" spans="1:12" ht="39.75" customHeight="1" x14ac:dyDescent="0.25">
      <c r="A16" s="22">
        <v>13</v>
      </c>
      <c r="B16" s="32" t="s">
        <v>214</v>
      </c>
      <c r="C16" s="79" t="s">
        <v>216</v>
      </c>
      <c r="D16" s="24" t="s">
        <v>553</v>
      </c>
      <c r="E16" s="25">
        <v>2374319871</v>
      </c>
      <c r="F16" s="25">
        <v>15603.49</v>
      </c>
      <c r="G16" s="25" t="s">
        <v>194</v>
      </c>
      <c r="H16" s="25">
        <v>44309</v>
      </c>
      <c r="I16" s="25">
        <v>131</v>
      </c>
      <c r="J16" s="35">
        <v>44235</v>
      </c>
      <c r="K16" s="53" t="s">
        <v>474</v>
      </c>
    </row>
    <row r="17" spans="1:11" ht="59.25" customHeight="1" x14ac:dyDescent="0.25">
      <c r="A17" s="22">
        <v>14</v>
      </c>
      <c r="B17" s="32" t="s">
        <v>213</v>
      </c>
      <c r="C17" s="79" t="s">
        <v>41</v>
      </c>
      <c r="D17" s="24" t="s">
        <v>551</v>
      </c>
      <c r="E17" s="25">
        <v>1499679126</v>
      </c>
      <c r="F17" s="25">
        <v>19657.2</v>
      </c>
      <c r="G17" s="25" t="s">
        <v>42</v>
      </c>
      <c r="H17" s="25">
        <v>44309</v>
      </c>
      <c r="I17" s="25">
        <v>303</v>
      </c>
      <c r="J17" s="35">
        <v>44217</v>
      </c>
      <c r="K17" s="53" t="s">
        <v>415</v>
      </c>
    </row>
    <row r="18" spans="1:11" ht="43.5" customHeight="1" x14ac:dyDescent="0.25">
      <c r="A18" s="22">
        <v>15</v>
      </c>
      <c r="B18" s="32" t="s">
        <v>368</v>
      </c>
      <c r="C18" s="79" t="s">
        <v>36</v>
      </c>
      <c r="D18" s="24" t="s">
        <v>554</v>
      </c>
      <c r="E18" s="25">
        <v>6857592308</v>
      </c>
      <c r="F18" s="25">
        <v>35711.699999999997</v>
      </c>
      <c r="G18" s="25" t="s">
        <v>37</v>
      </c>
      <c r="H18" s="25">
        <v>44309</v>
      </c>
      <c r="I18" s="25">
        <v>291</v>
      </c>
      <c r="J18" s="35">
        <v>44293</v>
      </c>
      <c r="K18" s="53" t="s">
        <v>416</v>
      </c>
    </row>
    <row r="19" spans="1:11" ht="39" customHeight="1" x14ac:dyDescent="0.25">
      <c r="A19" s="22">
        <v>16</v>
      </c>
      <c r="B19" s="32" t="s">
        <v>330</v>
      </c>
      <c r="C19" s="79" t="s">
        <v>200</v>
      </c>
      <c r="D19" s="24" t="s">
        <v>555</v>
      </c>
      <c r="E19" s="25">
        <v>3601621272</v>
      </c>
      <c r="F19" s="25">
        <v>17438.599999999999</v>
      </c>
      <c r="G19" s="25" t="s">
        <v>205</v>
      </c>
      <c r="H19" s="25">
        <v>44330</v>
      </c>
      <c r="I19" s="25">
        <v>165</v>
      </c>
      <c r="J19" s="35">
        <v>44246</v>
      </c>
      <c r="K19" s="29">
        <v>44792</v>
      </c>
    </row>
    <row r="20" spans="1:11" ht="70.5" customHeight="1" x14ac:dyDescent="0.25">
      <c r="A20" s="22">
        <v>17</v>
      </c>
      <c r="B20" s="32" t="s">
        <v>307</v>
      </c>
      <c r="C20" s="79" t="s">
        <v>195</v>
      </c>
      <c r="D20" s="24" t="s">
        <v>536</v>
      </c>
      <c r="E20" s="25">
        <v>3965211099</v>
      </c>
      <c r="F20" s="25">
        <v>18625.47</v>
      </c>
      <c r="G20" s="25" t="s">
        <v>196</v>
      </c>
      <c r="H20" s="25">
        <v>44333</v>
      </c>
      <c r="I20" s="25">
        <v>252</v>
      </c>
      <c r="J20" s="35">
        <v>44238</v>
      </c>
      <c r="K20" s="29">
        <v>44784</v>
      </c>
    </row>
    <row r="21" spans="1:11" ht="39.75" customHeight="1" x14ac:dyDescent="0.25">
      <c r="A21" s="22">
        <v>18</v>
      </c>
      <c r="B21" s="32" t="s">
        <v>423</v>
      </c>
      <c r="C21" s="79" t="s">
        <v>197</v>
      </c>
      <c r="D21" s="24" t="s">
        <v>556</v>
      </c>
      <c r="E21" s="25">
        <v>2394747276</v>
      </c>
      <c r="F21" s="25">
        <v>15182.7</v>
      </c>
      <c r="G21" s="25" t="s">
        <v>207</v>
      </c>
      <c r="H21" s="25">
        <v>44336</v>
      </c>
      <c r="I21" s="25">
        <v>102</v>
      </c>
      <c r="J21" s="35">
        <v>44236</v>
      </c>
      <c r="K21" s="29">
        <v>44904</v>
      </c>
    </row>
    <row r="22" spans="1:11" ht="78.75" x14ac:dyDescent="0.25">
      <c r="A22" s="22">
        <v>19</v>
      </c>
      <c r="B22" s="32" t="s">
        <v>331</v>
      </c>
      <c r="C22" s="79" t="s">
        <v>219</v>
      </c>
      <c r="D22" s="24" t="s">
        <v>557</v>
      </c>
      <c r="E22" s="25">
        <f>9488852391+655777817</f>
        <v>10144630208</v>
      </c>
      <c r="F22" s="25">
        <v>44759.28</v>
      </c>
      <c r="G22" s="25" t="s">
        <v>220</v>
      </c>
      <c r="H22" s="25">
        <v>44337</v>
      </c>
      <c r="I22" s="25">
        <v>509</v>
      </c>
      <c r="J22" s="58" t="s">
        <v>230</v>
      </c>
      <c r="K22" s="97" t="s">
        <v>488</v>
      </c>
    </row>
    <row r="23" spans="1:11" ht="63" x14ac:dyDescent="0.25">
      <c r="A23" s="22">
        <v>20</v>
      </c>
      <c r="B23" s="32" t="s">
        <v>231</v>
      </c>
      <c r="C23" s="79" t="s">
        <v>187</v>
      </c>
      <c r="D23" s="24" t="s">
        <v>558</v>
      </c>
      <c r="E23" s="25">
        <v>3001447327</v>
      </c>
      <c r="F23" s="25">
        <v>14814.8</v>
      </c>
      <c r="G23" s="25" t="s">
        <v>44</v>
      </c>
      <c r="H23" s="25">
        <v>44342</v>
      </c>
      <c r="I23" s="25">
        <v>165</v>
      </c>
      <c r="J23" s="35">
        <v>44187</v>
      </c>
      <c r="K23" s="57" t="s">
        <v>503</v>
      </c>
    </row>
    <row r="24" spans="1:11" ht="44.25" customHeight="1" x14ac:dyDescent="0.25">
      <c r="A24" s="22">
        <v>21</v>
      </c>
      <c r="B24" s="32" t="s">
        <v>335</v>
      </c>
      <c r="C24" s="79" t="s">
        <v>227</v>
      </c>
      <c r="D24" s="24" t="s">
        <v>554</v>
      </c>
      <c r="E24" s="25">
        <v>3935294461</v>
      </c>
      <c r="F24" s="25">
        <v>19799.46</v>
      </c>
      <c r="G24" s="25" t="s">
        <v>223</v>
      </c>
      <c r="H24" s="25">
        <v>44344</v>
      </c>
      <c r="I24" s="25">
        <v>207</v>
      </c>
      <c r="J24" s="35">
        <v>44242</v>
      </c>
      <c r="K24" s="53" t="s">
        <v>424</v>
      </c>
    </row>
    <row r="25" spans="1:11" ht="51.75" customHeight="1" x14ac:dyDescent="0.25">
      <c r="A25" s="22" t="s">
        <v>28</v>
      </c>
      <c r="B25" s="32" t="s">
        <v>301</v>
      </c>
      <c r="C25" s="79" t="s">
        <v>302</v>
      </c>
      <c r="D25" s="24" t="s">
        <v>554</v>
      </c>
      <c r="E25" s="25">
        <v>505795088</v>
      </c>
      <c r="F25" s="25">
        <v>0</v>
      </c>
      <c r="G25" s="25" t="s">
        <v>28</v>
      </c>
      <c r="H25" s="25">
        <v>44344</v>
      </c>
      <c r="I25" s="25">
        <v>0</v>
      </c>
      <c r="J25" s="35">
        <v>44172</v>
      </c>
      <c r="K25" s="53" t="s">
        <v>416</v>
      </c>
    </row>
    <row r="26" spans="1:11" ht="54.75" customHeight="1" x14ac:dyDescent="0.25">
      <c r="A26" s="22">
        <v>22</v>
      </c>
      <c r="B26" s="32" t="s">
        <v>245</v>
      </c>
      <c r="C26" s="79" t="s">
        <v>191</v>
      </c>
      <c r="D26" s="24" t="s">
        <v>559</v>
      </c>
      <c r="E26" s="25">
        <v>9247229121</v>
      </c>
      <c r="F26" s="25">
        <v>37650.199999999997</v>
      </c>
      <c r="G26" s="25" t="s">
        <v>192</v>
      </c>
      <c r="H26" s="25">
        <v>44355</v>
      </c>
      <c r="I26" s="25">
        <v>328</v>
      </c>
      <c r="J26" s="35">
        <v>44222</v>
      </c>
      <c r="K26" s="53" t="s">
        <v>490</v>
      </c>
    </row>
    <row r="27" spans="1:11" ht="73.5" customHeight="1" x14ac:dyDescent="0.25">
      <c r="A27" s="22">
        <v>23</v>
      </c>
      <c r="B27" s="32" t="s">
        <v>285</v>
      </c>
      <c r="C27" s="79" t="s">
        <v>199</v>
      </c>
      <c r="D27" s="24" t="s">
        <v>560</v>
      </c>
      <c r="E27" s="25">
        <v>2271535493</v>
      </c>
      <c r="F27" s="25">
        <v>11439.2</v>
      </c>
      <c r="G27" s="25" t="s">
        <v>208</v>
      </c>
      <c r="H27" s="25">
        <v>44356</v>
      </c>
      <c r="I27" s="25">
        <v>234</v>
      </c>
      <c r="J27" s="35">
        <v>44260</v>
      </c>
      <c r="K27" s="53" t="s">
        <v>476</v>
      </c>
    </row>
    <row r="28" spans="1:11" ht="69" customHeight="1" x14ac:dyDescent="0.25">
      <c r="A28" s="22">
        <v>24</v>
      </c>
      <c r="B28" s="32" t="s">
        <v>332</v>
      </c>
      <c r="C28" s="79" t="s">
        <v>222</v>
      </c>
      <c r="D28" s="24" t="s">
        <v>536</v>
      </c>
      <c r="E28" s="25">
        <v>2467040747</v>
      </c>
      <c r="F28" s="25">
        <v>20246.28</v>
      </c>
      <c r="G28" s="25" t="s">
        <v>223</v>
      </c>
      <c r="H28" s="25">
        <v>44356</v>
      </c>
      <c r="I28" s="25">
        <v>166</v>
      </c>
      <c r="J28" s="35">
        <v>44239</v>
      </c>
      <c r="K28" s="35">
        <v>44938</v>
      </c>
    </row>
    <row r="29" spans="1:11" ht="67.5" customHeight="1" x14ac:dyDescent="0.25">
      <c r="A29" s="22">
        <v>25</v>
      </c>
      <c r="B29" s="32" t="s">
        <v>333</v>
      </c>
      <c r="C29" s="79" t="s">
        <v>226</v>
      </c>
      <c r="D29" s="24" t="s">
        <v>536</v>
      </c>
      <c r="E29" s="25">
        <v>4203952682</v>
      </c>
      <c r="F29" s="25">
        <v>27491.57</v>
      </c>
      <c r="G29" s="25" t="s">
        <v>242</v>
      </c>
      <c r="H29" s="25">
        <v>44358</v>
      </c>
      <c r="I29" s="25">
        <v>280</v>
      </c>
      <c r="J29" s="35">
        <v>44054</v>
      </c>
      <c r="K29" s="35">
        <v>44937</v>
      </c>
    </row>
    <row r="30" spans="1:11" ht="74.25" customHeight="1" x14ac:dyDescent="0.25">
      <c r="A30" s="22">
        <v>26</v>
      </c>
      <c r="B30" s="32" t="s">
        <v>334</v>
      </c>
      <c r="C30" s="79" t="s">
        <v>93</v>
      </c>
      <c r="D30" s="24" t="s">
        <v>549</v>
      </c>
      <c r="E30" s="25">
        <v>7638011068</v>
      </c>
      <c r="F30" s="25">
        <v>38552.29</v>
      </c>
      <c r="G30" s="25" t="s">
        <v>235</v>
      </c>
      <c r="H30" s="25">
        <v>44344</v>
      </c>
      <c r="I30" s="25">
        <v>318</v>
      </c>
      <c r="J30" s="35">
        <v>44270</v>
      </c>
      <c r="K30" s="35">
        <v>44972</v>
      </c>
    </row>
    <row r="31" spans="1:11" ht="63.75" customHeight="1" x14ac:dyDescent="0.25">
      <c r="A31" s="22">
        <v>27</v>
      </c>
      <c r="B31" s="32" t="s">
        <v>336</v>
      </c>
      <c r="C31" s="79" t="s">
        <v>244</v>
      </c>
      <c r="D31" s="24" t="s">
        <v>536</v>
      </c>
      <c r="E31" s="25">
        <v>2037222803</v>
      </c>
      <c r="F31" s="25">
        <v>16601</v>
      </c>
      <c r="G31" s="25" t="s">
        <v>246</v>
      </c>
      <c r="H31" s="25">
        <v>44358</v>
      </c>
      <c r="I31" s="25">
        <v>114</v>
      </c>
      <c r="J31" s="35">
        <v>44271</v>
      </c>
      <c r="K31" s="35">
        <v>44880</v>
      </c>
    </row>
    <row r="32" spans="1:11" ht="42" customHeight="1" x14ac:dyDescent="0.25">
      <c r="A32" s="22">
        <v>28</v>
      </c>
      <c r="B32" s="32" t="s">
        <v>253</v>
      </c>
      <c r="C32" s="79" t="s">
        <v>254</v>
      </c>
      <c r="D32" s="24" t="s">
        <v>557</v>
      </c>
      <c r="E32" s="25">
        <v>5242062903</v>
      </c>
      <c r="F32" s="25">
        <v>22319</v>
      </c>
      <c r="G32" s="25" t="s">
        <v>44</v>
      </c>
      <c r="H32" s="25">
        <v>44364</v>
      </c>
      <c r="I32" s="25">
        <v>292</v>
      </c>
      <c r="J32" s="35">
        <v>44287</v>
      </c>
      <c r="K32" s="35">
        <v>44834</v>
      </c>
    </row>
    <row r="33" spans="1:11" ht="36" customHeight="1" x14ac:dyDescent="0.25">
      <c r="A33" s="22">
        <v>29</v>
      </c>
      <c r="B33" s="32" t="s">
        <v>337</v>
      </c>
      <c r="C33" s="79" t="s">
        <v>224</v>
      </c>
      <c r="D33" s="24" t="s">
        <v>561</v>
      </c>
      <c r="E33" s="25">
        <v>5405809863</v>
      </c>
      <c r="F33" s="25">
        <v>42064.2</v>
      </c>
      <c r="G33" s="25" t="s">
        <v>225</v>
      </c>
      <c r="H33" s="25">
        <v>44377</v>
      </c>
      <c r="I33" s="25">
        <v>522</v>
      </c>
      <c r="J33" s="35">
        <v>44320</v>
      </c>
      <c r="K33" s="35">
        <v>44838</v>
      </c>
    </row>
    <row r="34" spans="1:11" ht="58.5" customHeight="1" x14ac:dyDescent="0.25">
      <c r="A34" s="22">
        <v>30</v>
      </c>
      <c r="B34" s="32" t="s">
        <v>338</v>
      </c>
      <c r="C34" s="79" t="s">
        <v>232</v>
      </c>
      <c r="D34" s="24" t="s">
        <v>535</v>
      </c>
      <c r="E34" s="25">
        <v>7032122117</v>
      </c>
      <c r="F34" s="25">
        <v>22629.3</v>
      </c>
      <c r="G34" s="25" t="s">
        <v>233</v>
      </c>
      <c r="H34" s="25">
        <v>44364</v>
      </c>
      <c r="I34" s="25">
        <v>306</v>
      </c>
      <c r="J34" s="35">
        <v>44309</v>
      </c>
      <c r="K34" s="35">
        <v>44796</v>
      </c>
    </row>
    <row r="35" spans="1:11" ht="63" x14ac:dyDescent="0.25">
      <c r="A35" s="22">
        <v>31</v>
      </c>
      <c r="B35" s="32" t="s">
        <v>340</v>
      </c>
      <c r="C35" s="79" t="s">
        <v>239</v>
      </c>
      <c r="D35" s="24" t="s">
        <v>562</v>
      </c>
      <c r="E35" s="25">
        <v>2785752420</v>
      </c>
      <c r="F35" s="25">
        <v>12354.79</v>
      </c>
      <c r="G35" s="25" t="s">
        <v>240</v>
      </c>
      <c r="H35" s="25">
        <v>44389</v>
      </c>
      <c r="I35" s="25">
        <v>143</v>
      </c>
      <c r="J35" s="35">
        <v>44348</v>
      </c>
      <c r="K35" s="35">
        <v>44819</v>
      </c>
    </row>
    <row r="36" spans="1:11" ht="61.5" customHeight="1" x14ac:dyDescent="0.25">
      <c r="A36" s="22">
        <v>32</v>
      </c>
      <c r="B36" s="32" t="s">
        <v>417</v>
      </c>
      <c r="C36" s="79" t="s">
        <v>117</v>
      </c>
      <c r="D36" s="24" t="s">
        <v>534</v>
      </c>
      <c r="E36" s="25">
        <v>7142974193</v>
      </c>
      <c r="F36" s="25">
        <v>73948.3</v>
      </c>
      <c r="G36" s="25" t="s">
        <v>241</v>
      </c>
      <c r="H36" s="25">
        <v>44392</v>
      </c>
      <c r="I36" s="25">
        <v>882</v>
      </c>
      <c r="J36" s="35">
        <v>44347</v>
      </c>
      <c r="K36" s="35" t="s">
        <v>458</v>
      </c>
    </row>
    <row r="37" spans="1:11" ht="44.25" customHeight="1" x14ac:dyDescent="0.25">
      <c r="A37" s="22">
        <v>33</v>
      </c>
      <c r="B37" s="32" t="s">
        <v>475</v>
      </c>
      <c r="C37" s="79" t="s">
        <v>201</v>
      </c>
      <c r="D37" s="24" t="s">
        <v>563</v>
      </c>
      <c r="E37" s="25">
        <v>3605450598</v>
      </c>
      <c r="F37" s="25">
        <v>15375.4</v>
      </c>
      <c r="G37" s="25" t="s">
        <v>206</v>
      </c>
      <c r="H37" s="25">
        <v>44396</v>
      </c>
      <c r="I37" s="25">
        <v>119</v>
      </c>
      <c r="J37" s="35">
        <v>44286</v>
      </c>
      <c r="K37" s="35">
        <v>44801</v>
      </c>
    </row>
    <row r="38" spans="1:11" ht="48.75" customHeight="1" x14ac:dyDescent="0.25">
      <c r="A38" s="22">
        <v>34</v>
      </c>
      <c r="B38" s="32" t="s">
        <v>268</v>
      </c>
      <c r="C38" s="79" t="s">
        <v>249</v>
      </c>
      <c r="D38" s="24" t="s">
        <v>557</v>
      </c>
      <c r="E38" s="25">
        <v>5041329922</v>
      </c>
      <c r="F38" s="25">
        <v>21860.5</v>
      </c>
      <c r="G38" s="25" t="s">
        <v>250</v>
      </c>
      <c r="H38" s="25">
        <v>44392</v>
      </c>
      <c r="I38" s="25">
        <v>237</v>
      </c>
      <c r="J38" s="35">
        <v>44341</v>
      </c>
      <c r="K38" s="35">
        <v>45074</v>
      </c>
    </row>
    <row r="39" spans="1:11" ht="70.5" customHeight="1" x14ac:dyDescent="0.25">
      <c r="A39" s="22">
        <v>35</v>
      </c>
      <c r="B39" s="32" t="s">
        <v>269</v>
      </c>
      <c r="C39" s="79" t="s">
        <v>93</v>
      </c>
      <c r="D39" s="24" t="s">
        <v>558</v>
      </c>
      <c r="E39" s="25">
        <v>9387694698</v>
      </c>
      <c r="F39" s="25">
        <v>35764.5</v>
      </c>
      <c r="G39" s="25" t="s">
        <v>251</v>
      </c>
      <c r="H39" s="25">
        <v>44390</v>
      </c>
      <c r="I39" s="25">
        <v>366</v>
      </c>
      <c r="J39" s="35">
        <v>44331</v>
      </c>
      <c r="K39" s="35">
        <v>44787</v>
      </c>
    </row>
    <row r="40" spans="1:11" ht="63.75" customHeight="1" x14ac:dyDescent="0.25">
      <c r="A40" s="22">
        <v>36</v>
      </c>
      <c r="B40" s="32" t="s">
        <v>339</v>
      </c>
      <c r="C40" s="79" t="s">
        <v>217</v>
      </c>
      <c r="D40" s="79" t="s">
        <v>564</v>
      </c>
      <c r="E40" s="25">
        <v>3185907288</v>
      </c>
      <c r="F40" s="25">
        <v>14982.7</v>
      </c>
      <c r="G40" s="25" t="s">
        <v>218</v>
      </c>
      <c r="H40" s="25">
        <v>44390</v>
      </c>
      <c r="I40" s="25">
        <v>184</v>
      </c>
      <c r="J40" s="35">
        <v>44286</v>
      </c>
      <c r="K40" s="53" t="s">
        <v>489</v>
      </c>
    </row>
    <row r="41" spans="1:11" ht="55.5" customHeight="1" x14ac:dyDescent="0.25">
      <c r="A41" s="22">
        <v>37</v>
      </c>
      <c r="B41" s="32" t="s">
        <v>470</v>
      </c>
      <c r="C41" s="79" t="s">
        <v>88</v>
      </c>
      <c r="D41" s="24" t="s">
        <v>565</v>
      </c>
      <c r="E41" s="25">
        <v>922782493</v>
      </c>
      <c r="F41" s="25">
        <v>6326.2</v>
      </c>
      <c r="G41" s="25" t="s">
        <v>234</v>
      </c>
      <c r="H41" s="25">
        <v>44398</v>
      </c>
      <c r="I41" s="25">
        <v>72</v>
      </c>
      <c r="J41" s="35">
        <v>44234</v>
      </c>
      <c r="K41" s="53" t="s">
        <v>457</v>
      </c>
    </row>
    <row r="42" spans="1:11" ht="57.75" customHeight="1" x14ac:dyDescent="0.25">
      <c r="A42" s="22">
        <v>38</v>
      </c>
      <c r="B42" s="32" t="s">
        <v>267</v>
      </c>
      <c r="C42" s="79" t="s">
        <v>247</v>
      </c>
      <c r="D42" s="24" t="s">
        <v>534</v>
      </c>
      <c r="E42" s="25">
        <v>4706806971</v>
      </c>
      <c r="F42" s="25">
        <v>55984.28</v>
      </c>
      <c r="G42" s="25" t="s">
        <v>248</v>
      </c>
      <c r="H42" s="25">
        <v>44403</v>
      </c>
      <c r="I42" s="25">
        <v>756</v>
      </c>
      <c r="J42" s="35">
        <v>44355</v>
      </c>
      <c r="K42" s="53" t="s">
        <v>421</v>
      </c>
    </row>
    <row r="43" spans="1:11" ht="63" x14ac:dyDescent="0.25">
      <c r="A43" s="22">
        <v>39</v>
      </c>
      <c r="B43" s="32" t="s">
        <v>270</v>
      </c>
      <c r="C43" s="79" t="s">
        <v>132</v>
      </c>
      <c r="D43" s="24" t="s">
        <v>536</v>
      </c>
      <c r="E43" s="25">
        <v>2206013205</v>
      </c>
      <c r="F43" s="25">
        <v>15957</v>
      </c>
      <c r="G43" s="25" t="s">
        <v>255</v>
      </c>
      <c r="H43" s="25">
        <v>44404</v>
      </c>
      <c r="I43" s="25">
        <v>170</v>
      </c>
      <c r="J43" s="35">
        <v>44246</v>
      </c>
      <c r="K43" s="53" t="s">
        <v>453</v>
      </c>
    </row>
    <row r="44" spans="1:11" ht="39.75" customHeight="1" x14ac:dyDescent="0.25">
      <c r="A44" s="22">
        <v>40</v>
      </c>
      <c r="B44" s="32" t="s">
        <v>341</v>
      </c>
      <c r="C44" s="79" t="s">
        <v>39</v>
      </c>
      <c r="D44" s="24" t="s">
        <v>566</v>
      </c>
      <c r="E44" s="25">
        <v>3516075103</v>
      </c>
      <c r="F44" s="25">
        <v>14302.4</v>
      </c>
      <c r="G44" s="25" t="s">
        <v>40</v>
      </c>
      <c r="H44" s="25">
        <v>44420</v>
      </c>
      <c r="I44" s="25">
        <v>208</v>
      </c>
      <c r="J44" s="35">
        <v>44175</v>
      </c>
      <c r="K44" s="35">
        <v>44783</v>
      </c>
    </row>
    <row r="45" spans="1:11" ht="41.25" customHeight="1" x14ac:dyDescent="0.25">
      <c r="A45" s="22">
        <v>41</v>
      </c>
      <c r="B45" s="32" t="s">
        <v>342</v>
      </c>
      <c r="C45" s="79" t="s">
        <v>198</v>
      </c>
      <c r="D45" s="24" t="s">
        <v>567</v>
      </c>
      <c r="E45" s="25">
        <v>3779124848</v>
      </c>
      <c r="F45" s="25">
        <v>24702.9</v>
      </c>
      <c r="G45" s="25" t="s">
        <v>209</v>
      </c>
      <c r="H45" s="25">
        <v>44419</v>
      </c>
      <c r="I45" s="25">
        <v>287</v>
      </c>
      <c r="J45" s="35">
        <v>44219</v>
      </c>
      <c r="K45" s="29">
        <v>44795</v>
      </c>
    </row>
    <row r="46" spans="1:11" ht="69" customHeight="1" x14ac:dyDescent="0.25">
      <c r="A46" s="22">
        <v>42</v>
      </c>
      <c r="B46" s="32" t="s">
        <v>343</v>
      </c>
      <c r="C46" s="79" t="s">
        <v>130</v>
      </c>
      <c r="D46" s="24" t="s">
        <v>535</v>
      </c>
      <c r="E46" s="25">
        <v>6015465822</v>
      </c>
      <c r="F46" s="25">
        <v>24557.72</v>
      </c>
      <c r="G46" s="25" t="s">
        <v>256</v>
      </c>
      <c r="H46" s="25">
        <v>44421</v>
      </c>
      <c r="I46" s="25">
        <v>288</v>
      </c>
      <c r="J46" s="35">
        <v>44348</v>
      </c>
      <c r="K46" s="35">
        <v>44805</v>
      </c>
    </row>
    <row r="47" spans="1:11" ht="47.25" x14ac:dyDescent="0.25">
      <c r="A47" s="22">
        <v>43</v>
      </c>
      <c r="B47" s="32" t="s">
        <v>279</v>
      </c>
      <c r="C47" s="79" t="s">
        <v>257</v>
      </c>
      <c r="D47" s="24" t="s">
        <v>568</v>
      </c>
      <c r="E47" s="25">
        <v>1913348225</v>
      </c>
      <c r="F47" s="25">
        <v>10142.5</v>
      </c>
      <c r="G47" s="25" t="s">
        <v>258</v>
      </c>
      <c r="H47" s="25">
        <v>44421</v>
      </c>
      <c r="I47" s="25">
        <v>76</v>
      </c>
      <c r="J47" s="35">
        <v>44305</v>
      </c>
      <c r="K47" s="35">
        <v>44761</v>
      </c>
    </row>
    <row r="48" spans="1:11" ht="42" customHeight="1" x14ac:dyDescent="0.25">
      <c r="A48" s="22">
        <v>44</v>
      </c>
      <c r="B48" s="32" t="s">
        <v>290</v>
      </c>
      <c r="C48" s="79" t="s">
        <v>266</v>
      </c>
      <c r="D48" s="24" t="s">
        <v>569</v>
      </c>
      <c r="E48" s="25">
        <v>6105003456</v>
      </c>
      <c r="F48" s="25">
        <v>34924.6</v>
      </c>
      <c r="G48" s="25" t="s">
        <v>273</v>
      </c>
      <c r="H48" s="25">
        <v>44441</v>
      </c>
      <c r="I48" s="25">
        <v>381</v>
      </c>
      <c r="J48" s="35">
        <v>44389</v>
      </c>
      <c r="K48" s="35">
        <v>45058</v>
      </c>
    </row>
    <row r="49" spans="1:11" ht="47.25" x14ac:dyDescent="0.25">
      <c r="A49" s="22">
        <v>45</v>
      </c>
      <c r="B49" s="32" t="s">
        <v>344</v>
      </c>
      <c r="C49" s="79" t="s">
        <v>264</v>
      </c>
      <c r="D49" s="24" t="s">
        <v>570</v>
      </c>
      <c r="E49" s="25">
        <v>6278976341</v>
      </c>
      <c r="F49" s="25">
        <v>34795.9</v>
      </c>
      <c r="G49" s="25" t="s">
        <v>265</v>
      </c>
      <c r="H49" s="25">
        <v>44428</v>
      </c>
      <c r="I49" s="25">
        <v>303</v>
      </c>
      <c r="J49" s="35">
        <v>44364</v>
      </c>
      <c r="K49" s="35">
        <v>44943</v>
      </c>
    </row>
    <row r="50" spans="1:11" ht="45.75" customHeight="1" x14ac:dyDescent="0.25">
      <c r="A50" s="22">
        <v>46</v>
      </c>
      <c r="B50" s="32" t="s">
        <v>296</v>
      </c>
      <c r="C50" s="79" t="s">
        <v>272</v>
      </c>
      <c r="D50" s="24" t="s">
        <v>571</v>
      </c>
      <c r="E50" s="25">
        <v>7302547392</v>
      </c>
      <c r="F50" s="25">
        <v>26569.7</v>
      </c>
      <c r="G50" s="25" t="s">
        <v>277</v>
      </c>
      <c r="H50" s="25">
        <v>44454</v>
      </c>
      <c r="I50" s="25">
        <v>285</v>
      </c>
      <c r="J50" s="35">
        <v>44334</v>
      </c>
      <c r="K50" s="29">
        <v>44793</v>
      </c>
    </row>
    <row r="51" spans="1:11" ht="47.25" customHeight="1" x14ac:dyDescent="0.25">
      <c r="A51" s="22">
        <v>47</v>
      </c>
      <c r="B51" s="32" t="s">
        <v>297</v>
      </c>
      <c r="C51" s="79" t="s">
        <v>275</v>
      </c>
      <c r="D51" s="24" t="s">
        <v>572</v>
      </c>
      <c r="E51" s="25">
        <v>4503146562</v>
      </c>
      <c r="F51" s="25">
        <v>23857.96</v>
      </c>
      <c r="G51" s="25" t="s">
        <v>276</v>
      </c>
      <c r="H51" s="25">
        <v>44453</v>
      </c>
      <c r="I51" s="25">
        <v>287</v>
      </c>
      <c r="J51" s="35">
        <v>44337</v>
      </c>
      <c r="K51" s="35">
        <v>44825</v>
      </c>
    </row>
    <row r="52" spans="1:11" ht="67.5" customHeight="1" x14ac:dyDescent="0.25">
      <c r="A52" s="22">
        <v>48</v>
      </c>
      <c r="B52" s="32" t="s">
        <v>460</v>
      </c>
      <c r="C52" s="79" t="s">
        <v>261</v>
      </c>
      <c r="D52" s="24" t="s">
        <v>536</v>
      </c>
      <c r="E52" s="25">
        <v>2587390882</v>
      </c>
      <c r="F52" s="25">
        <v>26285.8</v>
      </c>
      <c r="G52" s="25" t="s">
        <v>271</v>
      </c>
      <c r="H52" s="25">
        <v>44462</v>
      </c>
      <c r="I52" s="25">
        <v>305</v>
      </c>
      <c r="J52" s="35" t="s">
        <v>459</v>
      </c>
      <c r="K52" s="35" t="s">
        <v>502</v>
      </c>
    </row>
    <row r="53" spans="1:11" ht="69.75" customHeight="1" x14ac:dyDescent="0.25">
      <c r="A53" s="22">
        <v>49</v>
      </c>
      <c r="B53" s="32" t="s">
        <v>314</v>
      </c>
      <c r="C53" s="79" t="s">
        <v>195</v>
      </c>
      <c r="D53" s="24" t="s">
        <v>536</v>
      </c>
      <c r="E53" s="25">
        <v>4141712471</v>
      </c>
      <c r="F53" s="25">
        <v>20418.099999999999</v>
      </c>
      <c r="G53" s="25" t="s">
        <v>282</v>
      </c>
      <c r="H53" s="25">
        <v>44470</v>
      </c>
      <c r="I53" s="25">
        <v>280</v>
      </c>
      <c r="J53" s="58" t="s">
        <v>284</v>
      </c>
      <c r="K53" s="35" t="s">
        <v>283</v>
      </c>
    </row>
    <row r="54" spans="1:11" ht="42" customHeight="1" x14ac:dyDescent="0.25">
      <c r="A54" s="22">
        <v>50</v>
      </c>
      <c r="B54" s="32" t="s">
        <v>313</v>
      </c>
      <c r="C54" s="79" t="s">
        <v>288</v>
      </c>
      <c r="D54" s="24" t="s">
        <v>531</v>
      </c>
      <c r="E54" s="25">
        <v>6273402523</v>
      </c>
      <c r="F54" s="25">
        <v>30912.47</v>
      </c>
      <c r="G54" s="25" t="s">
        <v>286</v>
      </c>
      <c r="H54" s="25">
        <v>44469</v>
      </c>
      <c r="I54" s="25">
        <v>374</v>
      </c>
      <c r="J54" s="35">
        <v>44376</v>
      </c>
      <c r="K54" s="35">
        <v>44894</v>
      </c>
    </row>
    <row r="55" spans="1:11" ht="68.25" customHeight="1" x14ac:dyDescent="0.25">
      <c r="A55" s="22">
        <v>51</v>
      </c>
      <c r="B55" s="32" t="s">
        <v>345</v>
      </c>
      <c r="C55" s="79" t="s">
        <v>280</v>
      </c>
      <c r="D55" s="24" t="s">
        <v>534</v>
      </c>
      <c r="E55" s="25">
        <v>7304262409</v>
      </c>
      <c r="F55" s="25">
        <v>80501.600000000006</v>
      </c>
      <c r="G55" s="25" t="s">
        <v>281</v>
      </c>
      <c r="H55" s="25">
        <v>44469</v>
      </c>
      <c r="I55" s="25">
        <v>980</v>
      </c>
      <c r="J55" s="35">
        <v>44410</v>
      </c>
      <c r="K55" s="35">
        <v>44744</v>
      </c>
    </row>
    <row r="56" spans="1:11" ht="39.75" customHeight="1" x14ac:dyDescent="0.25">
      <c r="A56" s="22">
        <v>52</v>
      </c>
      <c r="B56" s="32" t="s">
        <v>306</v>
      </c>
      <c r="C56" s="79" t="s">
        <v>294</v>
      </c>
      <c r="D56" s="24" t="s">
        <v>557</v>
      </c>
      <c r="E56" s="25">
        <v>13532999337</v>
      </c>
      <c r="F56" s="25">
        <v>54384.25</v>
      </c>
      <c r="G56" s="25" t="s">
        <v>295</v>
      </c>
      <c r="H56" s="25">
        <v>44463</v>
      </c>
      <c r="I56" s="25">
        <v>529</v>
      </c>
      <c r="J56" s="35">
        <v>44377</v>
      </c>
      <c r="K56" s="35">
        <v>45412</v>
      </c>
    </row>
    <row r="57" spans="1:11" ht="47.25" x14ac:dyDescent="0.25">
      <c r="A57" s="22">
        <v>53</v>
      </c>
      <c r="B57" s="32" t="s">
        <v>364</v>
      </c>
      <c r="C57" s="79" t="s">
        <v>287</v>
      </c>
      <c r="D57" s="24" t="s">
        <v>573</v>
      </c>
      <c r="E57" s="25">
        <v>8276765515</v>
      </c>
      <c r="F57" s="25">
        <v>29337.95</v>
      </c>
      <c r="G57" s="25" t="s">
        <v>289</v>
      </c>
      <c r="H57" s="25">
        <v>44474</v>
      </c>
      <c r="I57" s="25">
        <v>322</v>
      </c>
      <c r="J57" s="35">
        <v>44302</v>
      </c>
      <c r="K57" s="57" t="s">
        <v>493</v>
      </c>
    </row>
    <row r="58" spans="1:11" ht="47.25" x14ac:dyDescent="0.25">
      <c r="A58" s="22">
        <v>54</v>
      </c>
      <c r="B58" s="32" t="s">
        <v>346</v>
      </c>
      <c r="C58" s="79" t="s">
        <v>298</v>
      </c>
      <c r="D58" s="24" t="s">
        <v>572</v>
      </c>
      <c r="E58" s="25">
        <v>4580426896</v>
      </c>
      <c r="F58" s="25">
        <v>24186.6</v>
      </c>
      <c r="G58" s="25" t="s">
        <v>299</v>
      </c>
      <c r="H58" s="25">
        <v>44484</v>
      </c>
      <c r="I58" s="25">
        <v>287</v>
      </c>
      <c r="J58" s="35">
        <v>44363</v>
      </c>
      <c r="K58" s="35">
        <v>44973</v>
      </c>
    </row>
    <row r="59" spans="1:11" ht="38.25" customHeight="1" x14ac:dyDescent="0.25">
      <c r="A59" s="22">
        <v>55</v>
      </c>
      <c r="B59" s="32" t="s">
        <v>354</v>
      </c>
      <c r="C59" s="79" t="s">
        <v>292</v>
      </c>
      <c r="D59" s="24" t="s">
        <v>557</v>
      </c>
      <c r="E59" s="25">
        <v>3392109393</v>
      </c>
      <c r="F59" s="25">
        <v>11238.23</v>
      </c>
      <c r="G59" s="25" t="s">
        <v>293</v>
      </c>
      <c r="H59" s="25">
        <v>44491</v>
      </c>
      <c r="I59" s="25">
        <v>156</v>
      </c>
      <c r="J59" s="35">
        <v>44423</v>
      </c>
      <c r="K59" s="35">
        <v>44819</v>
      </c>
    </row>
    <row r="60" spans="1:11" ht="63" x14ac:dyDescent="0.25">
      <c r="A60" s="22">
        <v>56</v>
      </c>
      <c r="B60" s="32" t="s">
        <v>363</v>
      </c>
      <c r="C60" s="79" t="s">
        <v>45</v>
      </c>
      <c r="D60" s="24" t="s">
        <v>536</v>
      </c>
      <c r="E60" s="25">
        <v>4131946931</v>
      </c>
      <c r="F60" s="25">
        <v>17546.03</v>
      </c>
      <c r="G60" s="25" t="s">
        <v>391</v>
      </c>
      <c r="H60" s="25">
        <v>44496</v>
      </c>
      <c r="I60" s="25">
        <v>118</v>
      </c>
      <c r="J60" s="35">
        <v>44270</v>
      </c>
      <c r="K60" s="35">
        <v>44910</v>
      </c>
    </row>
    <row r="61" spans="1:11" ht="63" x14ac:dyDescent="0.25">
      <c r="A61" s="22">
        <v>57</v>
      </c>
      <c r="B61" s="32" t="s">
        <v>366</v>
      </c>
      <c r="C61" s="79" t="s">
        <v>303</v>
      </c>
      <c r="D61" s="24" t="s">
        <v>536</v>
      </c>
      <c r="E61" s="25">
        <v>5400649904</v>
      </c>
      <c r="F61" s="25">
        <v>29527.4</v>
      </c>
      <c r="G61" s="25" t="s">
        <v>309</v>
      </c>
      <c r="H61" s="25">
        <v>44495</v>
      </c>
      <c r="I61" s="25">
        <v>231</v>
      </c>
      <c r="J61" s="25" t="s">
        <v>311</v>
      </c>
      <c r="K61" s="35" t="s">
        <v>312</v>
      </c>
    </row>
    <row r="62" spans="1:11" ht="47.25" x14ac:dyDescent="0.25">
      <c r="A62" s="22">
        <v>58</v>
      </c>
      <c r="B62" s="32" t="s">
        <v>353</v>
      </c>
      <c r="C62" s="79" t="s">
        <v>308</v>
      </c>
      <c r="D62" s="24" t="s">
        <v>562</v>
      </c>
      <c r="E62" s="25">
        <v>4541697006</v>
      </c>
      <c r="F62" s="25">
        <v>18802</v>
      </c>
      <c r="G62" s="25" t="s">
        <v>309</v>
      </c>
      <c r="H62" s="25">
        <v>44491</v>
      </c>
      <c r="I62" s="25">
        <v>132</v>
      </c>
      <c r="J62" s="35">
        <v>44407</v>
      </c>
      <c r="K62" s="35">
        <v>44986</v>
      </c>
    </row>
    <row r="63" spans="1:11" ht="44.25" customHeight="1" x14ac:dyDescent="0.25">
      <c r="A63" s="22">
        <v>59</v>
      </c>
      <c r="B63" s="32" t="s">
        <v>377</v>
      </c>
      <c r="C63" s="79" t="s">
        <v>315</v>
      </c>
      <c r="D63" s="24" t="s">
        <v>574</v>
      </c>
      <c r="E63" s="25">
        <v>4189841202</v>
      </c>
      <c r="F63" s="25">
        <v>24087.8</v>
      </c>
      <c r="G63" s="25" t="s">
        <v>316</v>
      </c>
      <c r="H63" s="25">
        <v>44505</v>
      </c>
      <c r="I63" s="25">
        <v>224</v>
      </c>
      <c r="J63" s="35">
        <v>44222</v>
      </c>
      <c r="K63" s="35">
        <v>44772</v>
      </c>
    </row>
    <row r="64" spans="1:11" ht="43.5" customHeight="1" x14ac:dyDescent="0.25">
      <c r="A64" s="22">
        <v>60</v>
      </c>
      <c r="B64" s="32" t="s">
        <v>381</v>
      </c>
      <c r="C64" s="79" t="s">
        <v>263</v>
      </c>
      <c r="D64" s="24" t="s">
        <v>575</v>
      </c>
      <c r="E64" s="25">
        <v>14682663880</v>
      </c>
      <c r="F64" s="25">
        <v>47248.56</v>
      </c>
      <c r="G64" s="25" t="s">
        <v>262</v>
      </c>
      <c r="H64" s="25">
        <v>44518</v>
      </c>
      <c r="I64" s="25">
        <v>390</v>
      </c>
      <c r="J64" s="35">
        <v>44258</v>
      </c>
      <c r="K64" s="35">
        <v>45294</v>
      </c>
    </row>
    <row r="65" spans="1:11" ht="43.5" customHeight="1" x14ac:dyDescent="0.25">
      <c r="A65" s="22">
        <v>61</v>
      </c>
      <c r="B65" s="32" t="s">
        <v>386</v>
      </c>
      <c r="C65" s="79" t="s">
        <v>317</v>
      </c>
      <c r="D65" s="24" t="s">
        <v>576</v>
      </c>
      <c r="E65" s="25">
        <v>6572665688</v>
      </c>
      <c r="F65" s="25">
        <v>34149.5</v>
      </c>
      <c r="G65" s="25" t="s">
        <v>291</v>
      </c>
      <c r="H65" s="25">
        <v>44526</v>
      </c>
      <c r="I65" s="25">
        <v>198</v>
      </c>
      <c r="J65" s="35">
        <v>44244</v>
      </c>
      <c r="K65" s="35">
        <v>44805</v>
      </c>
    </row>
    <row r="66" spans="1:11" ht="72.75" customHeight="1" x14ac:dyDescent="0.25">
      <c r="A66" s="22">
        <v>62</v>
      </c>
      <c r="B66" s="32" t="s">
        <v>384</v>
      </c>
      <c r="C66" s="79" t="s">
        <v>204</v>
      </c>
      <c r="D66" s="24" t="s">
        <v>536</v>
      </c>
      <c r="E66" s="25">
        <v>2164807770</v>
      </c>
      <c r="F66" s="25">
        <v>10312.6</v>
      </c>
      <c r="G66" s="25" t="s">
        <v>152</v>
      </c>
      <c r="H66" s="25">
        <v>44517</v>
      </c>
      <c r="I66" s="25">
        <v>108</v>
      </c>
      <c r="J66" s="35">
        <v>44446</v>
      </c>
      <c r="K66" s="35">
        <v>45178</v>
      </c>
    </row>
    <row r="67" spans="1:11" ht="70.5" customHeight="1" x14ac:dyDescent="0.25">
      <c r="A67" s="22">
        <v>63</v>
      </c>
      <c r="B67" s="32" t="s">
        <v>385</v>
      </c>
      <c r="C67" s="79" t="s">
        <v>324</v>
      </c>
      <c r="D67" s="24" t="s">
        <v>536</v>
      </c>
      <c r="E67" s="25">
        <v>2657879549</v>
      </c>
      <c r="F67" s="25">
        <v>13835.8</v>
      </c>
      <c r="G67" s="25" t="s">
        <v>357</v>
      </c>
      <c r="H67" s="25">
        <v>44519</v>
      </c>
      <c r="I67" s="25">
        <v>184</v>
      </c>
      <c r="J67" s="35">
        <v>44414</v>
      </c>
      <c r="K67" s="35">
        <v>44932</v>
      </c>
    </row>
    <row r="68" spans="1:11" ht="45.75" customHeight="1" x14ac:dyDescent="0.25">
      <c r="A68" s="22">
        <v>64</v>
      </c>
      <c r="B68" s="32" t="s">
        <v>387</v>
      </c>
      <c r="C68" s="79" t="s">
        <v>322</v>
      </c>
      <c r="D68" s="24" t="s">
        <v>577</v>
      </c>
      <c r="E68" s="25">
        <v>12973474512</v>
      </c>
      <c r="F68" s="25">
        <v>84002.5</v>
      </c>
      <c r="G68" s="25" t="s">
        <v>323</v>
      </c>
      <c r="H68" s="25">
        <v>44523</v>
      </c>
      <c r="I68" s="25">
        <v>1040</v>
      </c>
      <c r="J68" s="35">
        <v>44370</v>
      </c>
      <c r="K68" s="35">
        <v>45434</v>
      </c>
    </row>
    <row r="69" spans="1:11" ht="47.25" x14ac:dyDescent="0.25">
      <c r="A69" s="22">
        <v>65</v>
      </c>
      <c r="B69" s="32" t="s">
        <v>380</v>
      </c>
      <c r="C69" s="79" t="s">
        <v>352</v>
      </c>
      <c r="D69" s="24" t="s">
        <v>541</v>
      </c>
      <c r="E69" s="25">
        <v>17883890008</v>
      </c>
      <c r="F69" s="25">
        <v>75291.45</v>
      </c>
      <c r="G69" s="25" t="s">
        <v>355</v>
      </c>
      <c r="H69" s="25">
        <v>44516</v>
      </c>
      <c r="I69" s="25">
        <v>1222</v>
      </c>
      <c r="J69" s="35">
        <v>44391</v>
      </c>
      <c r="K69" s="35">
        <v>45487</v>
      </c>
    </row>
    <row r="70" spans="1:11" ht="54" customHeight="1" x14ac:dyDescent="0.25">
      <c r="A70" s="22">
        <v>66</v>
      </c>
      <c r="B70" s="32" t="s">
        <v>383</v>
      </c>
      <c r="C70" s="79" t="s">
        <v>280</v>
      </c>
      <c r="D70" s="24" t="s">
        <v>534</v>
      </c>
      <c r="E70" s="25">
        <v>4899793782</v>
      </c>
      <c r="F70" s="25">
        <v>60494</v>
      </c>
      <c r="G70" s="25" t="s">
        <v>356</v>
      </c>
      <c r="H70" s="25">
        <v>44525</v>
      </c>
      <c r="I70" s="25">
        <v>730</v>
      </c>
      <c r="J70" s="35">
        <v>44410</v>
      </c>
      <c r="K70" s="35">
        <v>44744</v>
      </c>
    </row>
    <row r="71" spans="1:11" ht="43.5" customHeight="1" x14ac:dyDescent="0.25">
      <c r="A71" s="22">
        <v>67</v>
      </c>
      <c r="B71" s="32" t="s">
        <v>382</v>
      </c>
      <c r="C71" s="79" t="s">
        <v>358</v>
      </c>
      <c r="D71" s="24" t="s">
        <v>572</v>
      </c>
      <c r="E71" s="25">
        <v>14427929363</v>
      </c>
      <c r="F71" s="25">
        <v>52895.49</v>
      </c>
      <c r="G71" s="25" t="s">
        <v>360</v>
      </c>
      <c r="H71" s="25">
        <v>44526</v>
      </c>
      <c r="I71" s="25">
        <v>505</v>
      </c>
      <c r="J71" s="35">
        <v>44482</v>
      </c>
      <c r="K71" s="35">
        <v>45212</v>
      </c>
    </row>
    <row r="72" spans="1:11" ht="67.5" customHeight="1" x14ac:dyDescent="0.25">
      <c r="A72" s="22">
        <v>68</v>
      </c>
      <c r="B72" s="32" t="s">
        <v>392</v>
      </c>
      <c r="C72" s="79" t="s">
        <v>45</v>
      </c>
      <c r="D72" s="24" t="s">
        <v>536</v>
      </c>
      <c r="E72" s="25">
        <v>714942693</v>
      </c>
      <c r="F72" s="25">
        <v>4226.16</v>
      </c>
      <c r="G72" s="25" t="s">
        <v>379</v>
      </c>
      <c r="H72" s="25">
        <v>44537</v>
      </c>
      <c r="I72" s="25">
        <v>32</v>
      </c>
      <c r="J72" s="35">
        <v>44475</v>
      </c>
      <c r="K72" s="35">
        <v>44779</v>
      </c>
    </row>
    <row r="73" spans="1:11" ht="45.75" customHeight="1" x14ac:dyDescent="0.25">
      <c r="A73" s="22">
        <v>69</v>
      </c>
      <c r="B73" s="32" t="s">
        <v>400</v>
      </c>
      <c r="C73" s="79" t="s">
        <v>373</v>
      </c>
      <c r="D73" s="24" t="s">
        <v>563</v>
      </c>
      <c r="E73" s="25">
        <v>3723017842</v>
      </c>
      <c r="F73" s="25">
        <v>16646.939999999999</v>
      </c>
      <c r="G73" s="25" t="s">
        <v>375</v>
      </c>
      <c r="H73" s="25">
        <v>44552</v>
      </c>
      <c r="I73" s="25">
        <v>202</v>
      </c>
      <c r="J73" s="35">
        <v>44479</v>
      </c>
      <c r="K73" s="35">
        <v>44814</v>
      </c>
    </row>
    <row r="74" spans="1:11" ht="47.25" x14ac:dyDescent="0.25">
      <c r="A74" s="22">
        <v>70</v>
      </c>
      <c r="B74" s="32" t="s">
        <v>401</v>
      </c>
      <c r="C74" s="79" t="s">
        <v>370</v>
      </c>
      <c r="D74" s="24" t="s">
        <v>578</v>
      </c>
      <c r="E74" s="25">
        <v>6873006319</v>
      </c>
      <c r="F74" s="25">
        <v>29299.19</v>
      </c>
      <c r="G74" s="25" t="s">
        <v>372</v>
      </c>
      <c r="H74" s="25">
        <v>44553</v>
      </c>
      <c r="I74" s="25">
        <v>300</v>
      </c>
      <c r="J74" s="35">
        <v>44491</v>
      </c>
      <c r="K74" s="35">
        <v>44947</v>
      </c>
    </row>
    <row r="75" spans="1:11" ht="43.5" customHeight="1" x14ac:dyDescent="0.25">
      <c r="A75" s="22">
        <v>71</v>
      </c>
      <c r="B75" s="32" t="s">
        <v>427</v>
      </c>
      <c r="C75" s="79" t="s">
        <v>378</v>
      </c>
      <c r="D75" s="24" t="s">
        <v>579</v>
      </c>
      <c r="E75" s="25">
        <v>4238097956</v>
      </c>
      <c r="F75" s="25">
        <v>15006.8</v>
      </c>
      <c r="G75" s="25" t="s">
        <v>389</v>
      </c>
      <c r="H75" s="25">
        <v>44586</v>
      </c>
      <c r="I75" s="25">
        <v>200</v>
      </c>
      <c r="J75" s="35">
        <v>44385</v>
      </c>
      <c r="K75" s="35">
        <v>44856</v>
      </c>
    </row>
    <row r="76" spans="1:11" ht="47.25" x14ac:dyDescent="0.25">
      <c r="A76" s="22" t="s">
        <v>28</v>
      </c>
      <c r="B76" s="32" t="s">
        <v>407</v>
      </c>
      <c r="C76" s="79" t="s">
        <v>408</v>
      </c>
      <c r="D76" s="24" t="s">
        <v>572</v>
      </c>
      <c r="E76" s="25">
        <v>674905764</v>
      </c>
      <c r="F76" s="25">
        <v>0</v>
      </c>
      <c r="G76" s="25" t="s">
        <v>28</v>
      </c>
      <c r="H76" s="25">
        <v>44532</v>
      </c>
      <c r="I76" s="25">
        <v>0</v>
      </c>
      <c r="J76" s="35">
        <v>44459</v>
      </c>
      <c r="K76" s="35">
        <v>44972</v>
      </c>
    </row>
    <row r="77" spans="1:11" ht="39" customHeight="1" x14ac:dyDescent="0.25">
      <c r="A77" s="22">
        <v>72</v>
      </c>
      <c r="B77" s="32" t="s">
        <v>428</v>
      </c>
      <c r="C77" s="79" t="s">
        <v>394</v>
      </c>
      <c r="D77" s="24" t="s">
        <v>539</v>
      </c>
      <c r="E77" s="25">
        <v>3337917283</v>
      </c>
      <c r="F77" s="25">
        <v>13974.9</v>
      </c>
      <c r="G77" s="25" t="s">
        <v>390</v>
      </c>
      <c r="H77" s="25">
        <v>44581</v>
      </c>
      <c r="I77" s="25">
        <v>73</v>
      </c>
      <c r="J77" s="35">
        <v>44477</v>
      </c>
      <c r="K77" s="35">
        <v>44781</v>
      </c>
    </row>
    <row r="78" spans="1:11" ht="58.5" customHeight="1" x14ac:dyDescent="0.25">
      <c r="A78" s="22">
        <v>73</v>
      </c>
      <c r="B78" s="32" t="s">
        <v>429</v>
      </c>
      <c r="C78" s="79" t="s">
        <v>411</v>
      </c>
      <c r="D78" s="24" t="s">
        <v>534</v>
      </c>
      <c r="E78" s="25">
        <v>12284519587</v>
      </c>
      <c r="F78" s="25">
        <v>148546.6</v>
      </c>
      <c r="G78" s="25" t="s">
        <v>412</v>
      </c>
      <c r="H78" s="25">
        <v>44585</v>
      </c>
      <c r="I78" s="25">
        <v>2142</v>
      </c>
      <c r="J78" s="35">
        <v>44555</v>
      </c>
      <c r="K78" s="35">
        <v>44982</v>
      </c>
    </row>
  </sheetData>
  <mergeCells count="1">
    <mergeCell ref="A3:C3"/>
  </mergeCells>
  <pageMargins left="0.23622047244094491" right="0.15748031496062992" top="0.43307086614173229" bottom="0.47244094488188981" header="0.31496062992125984" footer="0.31496062992125984"/>
  <pageSetup paperSize="9" scale="35" fitToHeight="0" orientation="landscape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K35"/>
  <sheetViews>
    <sheetView zoomScale="70" zoomScaleNormal="70" workbookViewId="0">
      <selection activeCell="E11" sqref="E11"/>
    </sheetView>
  </sheetViews>
  <sheetFormatPr defaultColWidth="9.28515625" defaultRowHeight="15.75" x14ac:dyDescent="0.25"/>
  <cols>
    <col min="1" max="1" width="5.7109375" style="19" customWidth="1"/>
    <col min="2" max="2" width="58.42578125" style="19" customWidth="1"/>
    <col min="3" max="3" width="33.7109375" style="19" customWidth="1"/>
    <col min="4" max="4" width="63.85546875" style="19" customWidth="1"/>
    <col min="5" max="5" width="23.5703125" style="19" customWidth="1"/>
    <col min="6" max="6" width="20.7109375" style="19" customWidth="1"/>
    <col min="7" max="7" width="22.42578125" style="19" customWidth="1"/>
    <col min="8" max="8" width="20.7109375" style="19" customWidth="1"/>
    <col min="9" max="9" width="22.28515625" style="19" customWidth="1"/>
    <col min="10" max="10" width="33.7109375" style="19" customWidth="1"/>
    <col min="11" max="11" width="29.85546875" style="19" customWidth="1"/>
    <col min="12" max="12" width="15.7109375" style="19" customWidth="1"/>
    <col min="13" max="15" width="11.42578125" style="19" customWidth="1"/>
    <col min="16" max="16384" width="9.28515625" style="19"/>
  </cols>
  <sheetData>
    <row r="1" spans="1:11" ht="51" customHeight="1" x14ac:dyDescent="0.25">
      <c r="A1" s="40"/>
      <c r="B1" s="20" t="s">
        <v>73</v>
      </c>
      <c r="C1" s="41"/>
    </row>
    <row r="2" spans="1:11" ht="75" customHeight="1" x14ac:dyDescent="0.25">
      <c r="A2" s="21" t="s">
        <v>0</v>
      </c>
      <c r="B2" s="21" t="s">
        <v>24</v>
      </c>
      <c r="C2" s="21" t="s">
        <v>25</v>
      </c>
      <c r="D2" s="21" t="s">
        <v>530</v>
      </c>
      <c r="E2" s="21" t="s">
        <v>26</v>
      </c>
      <c r="F2" s="21" t="s">
        <v>27</v>
      </c>
      <c r="G2" s="21" t="s">
        <v>29</v>
      </c>
      <c r="H2" s="21" t="s">
        <v>56</v>
      </c>
      <c r="I2" s="21" t="s">
        <v>30</v>
      </c>
      <c r="J2" s="21" t="s">
        <v>33</v>
      </c>
      <c r="K2" s="21" t="s">
        <v>34</v>
      </c>
    </row>
    <row r="3" spans="1:11" ht="34.5" customHeight="1" x14ac:dyDescent="0.25">
      <c r="A3" s="681" t="s">
        <v>228</v>
      </c>
      <c r="B3" s="681"/>
      <c r="C3" s="681"/>
      <c r="D3" s="96"/>
      <c r="E3" s="42">
        <f>SUM(E4:E35)</f>
        <v>118507709452</v>
      </c>
      <c r="F3" s="42">
        <f>SUM(F4:F35)</f>
        <v>727277.98</v>
      </c>
      <c r="G3" s="42">
        <f>SUM(G4:G35)</f>
        <v>0</v>
      </c>
      <c r="H3" s="42">
        <f>SUM(H4:H35)</f>
        <v>1407769</v>
      </c>
      <c r="I3" s="42">
        <f>SUM(I4:I35)</f>
        <v>8608</v>
      </c>
      <c r="J3" s="42"/>
      <c r="K3" s="42"/>
    </row>
    <row r="4" spans="1:11" ht="39" customHeight="1" x14ac:dyDescent="0.25">
      <c r="A4" s="24">
        <v>1</v>
      </c>
      <c r="B4" s="24" t="s">
        <v>74</v>
      </c>
      <c r="C4" s="24" t="s">
        <v>75</v>
      </c>
      <c r="D4" s="24" t="s">
        <v>569</v>
      </c>
      <c r="E4" s="25">
        <v>1604244431</v>
      </c>
      <c r="F4" s="25">
        <v>9352.08</v>
      </c>
      <c r="G4" s="24" t="s">
        <v>76</v>
      </c>
      <c r="H4" s="25">
        <v>43878</v>
      </c>
      <c r="I4" s="24">
        <v>106</v>
      </c>
      <c r="J4" s="35">
        <v>43851</v>
      </c>
      <c r="K4" s="53" t="s">
        <v>77</v>
      </c>
    </row>
    <row r="5" spans="1:11" ht="31.5" x14ac:dyDescent="0.25">
      <c r="A5" s="24">
        <v>2</v>
      </c>
      <c r="B5" s="24" t="s">
        <v>78</v>
      </c>
      <c r="C5" s="24" t="s">
        <v>75</v>
      </c>
      <c r="D5" s="24" t="s">
        <v>569</v>
      </c>
      <c r="E5" s="25">
        <v>1643232216</v>
      </c>
      <c r="F5" s="25">
        <v>9309.83</v>
      </c>
      <c r="G5" s="24" t="s">
        <v>76</v>
      </c>
      <c r="H5" s="25">
        <v>43878</v>
      </c>
      <c r="I5" s="24">
        <v>107</v>
      </c>
      <c r="J5" s="35">
        <v>43851</v>
      </c>
      <c r="K5" s="53" t="s">
        <v>77</v>
      </c>
    </row>
    <row r="6" spans="1:11" ht="31.5" x14ac:dyDescent="0.25">
      <c r="A6" s="24">
        <v>3</v>
      </c>
      <c r="B6" s="24" t="s">
        <v>79</v>
      </c>
      <c r="C6" s="24" t="s">
        <v>80</v>
      </c>
      <c r="D6" s="24" t="s">
        <v>580</v>
      </c>
      <c r="E6" s="25">
        <v>7211511710</v>
      </c>
      <c r="F6" s="25">
        <v>78453.75</v>
      </c>
      <c r="G6" s="24" t="s">
        <v>81</v>
      </c>
      <c r="H6" s="25">
        <v>43862</v>
      </c>
      <c r="I6" s="36">
        <v>1122</v>
      </c>
      <c r="J6" s="35">
        <v>43711</v>
      </c>
      <c r="K6" s="53" t="s">
        <v>82</v>
      </c>
    </row>
    <row r="7" spans="1:11" ht="42" customHeight="1" x14ac:dyDescent="0.25">
      <c r="A7" s="24">
        <v>4</v>
      </c>
      <c r="B7" s="24" t="s">
        <v>83</v>
      </c>
      <c r="C7" s="24" t="s">
        <v>84</v>
      </c>
      <c r="D7" s="24" t="s">
        <v>580</v>
      </c>
      <c r="E7" s="25">
        <v>4696993688</v>
      </c>
      <c r="F7" s="25">
        <v>35931.5</v>
      </c>
      <c r="G7" s="24" t="s">
        <v>85</v>
      </c>
      <c r="H7" s="25">
        <v>43862</v>
      </c>
      <c r="I7" s="24">
        <v>576</v>
      </c>
      <c r="J7" s="35">
        <v>43843</v>
      </c>
      <c r="K7" s="53" t="s">
        <v>86</v>
      </c>
    </row>
    <row r="8" spans="1:11" ht="47.25" x14ac:dyDescent="0.25">
      <c r="A8" s="24">
        <v>5</v>
      </c>
      <c r="B8" s="24" t="s">
        <v>87</v>
      </c>
      <c r="C8" s="24" t="s">
        <v>88</v>
      </c>
      <c r="D8" s="24" t="s">
        <v>565</v>
      </c>
      <c r="E8" s="25">
        <v>405171695</v>
      </c>
      <c r="F8" s="25">
        <v>2903</v>
      </c>
      <c r="G8" s="24" t="s">
        <v>89</v>
      </c>
      <c r="H8" s="25">
        <v>43992</v>
      </c>
      <c r="I8" s="24">
        <v>40</v>
      </c>
      <c r="J8" s="35">
        <v>43903</v>
      </c>
      <c r="K8" s="53" t="s">
        <v>90</v>
      </c>
    </row>
    <row r="9" spans="1:11" ht="68.25" customHeight="1" x14ac:dyDescent="0.25">
      <c r="A9" s="24" t="s">
        <v>28</v>
      </c>
      <c r="B9" s="24" t="s">
        <v>581</v>
      </c>
      <c r="C9" s="24" t="s">
        <v>106</v>
      </c>
      <c r="D9" s="24" t="s">
        <v>536</v>
      </c>
      <c r="E9" s="25">
        <v>698876654</v>
      </c>
      <c r="F9" s="25">
        <v>4954</v>
      </c>
      <c r="G9" s="24" t="s">
        <v>107</v>
      </c>
      <c r="H9" s="25">
        <v>43880</v>
      </c>
      <c r="I9" s="24">
        <v>-28</v>
      </c>
      <c r="J9" s="35">
        <v>43613</v>
      </c>
      <c r="K9" s="53" t="s">
        <v>189</v>
      </c>
    </row>
    <row r="10" spans="1:11" ht="63" customHeight="1" x14ac:dyDescent="0.25">
      <c r="A10" s="24">
        <v>6</v>
      </c>
      <c r="B10" s="24" t="s">
        <v>129</v>
      </c>
      <c r="C10" s="24" t="s">
        <v>130</v>
      </c>
      <c r="D10" s="24" t="s">
        <v>535</v>
      </c>
      <c r="E10" s="25">
        <v>2099777543</v>
      </c>
      <c r="F10" s="25">
        <v>10658</v>
      </c>
      <c r="G10" s="24" t="s">
        <v>131</v>
      </c>
      <c r="H10" s="25">
        <v>44088</v>
      </c>
      <c r="I10" s="24">
        <v>140</v>
      </c>
      <c r="J10" s="35">
        <v>43999</v>
      </c>
      <c r="K10" s="53" t="s">
        <v>210</v>
      </c>
    </row>
    <row r="11" spans="1:11" ht="72" customHeight="1" x14ac:dyDescent="0.25">
      <c r="A11" s="24">
        <v>7</v>
      </c>
      <c r="B11" s="24" t="s">
        <v>102</v>
      </c>
      <c r="C11" s="24" t="s">
        <v>60</v>
      </c>
      <c r="D11" s="24" t="s">
        <v>536</v>
      </c>
      <c r="E11" s="25">
        <v>2565255008</v>
      </c>
      <c r="F11" s="25">
        <v>18164</v>
      </c>
      <c r="G11" s="24" t="s">
        <v>229</v>
      </c>
      <c r="H11" s="25">
        <v>43889</v>
      </c>
      <c r="I11" s="24">
        <v>128</v>
      </c>
      <c r="J11" s="35">
        <v>43803</v>
      </c>
      <c r="K11" s="53" t="s">
        <v>210</v>
      </c>
    </row>
    <row r="12" spans="1:11" ht="64.5" customHeight="1" x14ac:dyDescent="0.25">
      <c r="A12" s="24">
        <v>8</v>
      </c>
      <c r="B12" s="24" t="s">
        <v>111</v>
      </c>
      <c r="C12" s="24" t="s">
        <v>112</v>
      </c>
      <c r="D12" s="24" t="s">
        <v>582</v>
      </c>
      <c r="E12" s="25">
        <v>3041291058</v>
      </c>
      <c r="F12" s="25">
        <v>15462.72</v>
      </c>
      <c r="G12" s="24" t="s">
        <v>113</v>
      </c>
      <c r="H12" s="25">
        <v>43950</v>
      </c>
      <c r="I12" s="24">
        <v>288</v>
      </c>
      <c r="J12" s="35">
        <v>43866</v>
      </c>
      <c r="K12" s="53" t="s">
        <v>243</v>
      </c>
    </row>
    <row r="13" spans="1:11" ht="63" x14ac:dyDescent="0.25">
      <c r="A13" s="24">
        <v>9</v>
      </c>
      <c r="B13" s="24" t="s">
        <v>91</v>
      </c>
      <c r="C13" s="24" t="s">
        <v>65</v>
      </c>
      <c r="D13" s="24" t="s">
        <v>536</v>
      </c>
      <c r="E13" s="25">
        <v>1991352860</v>
      </c>
      <c r="F13" s="25">
        <v>10697.91</v>
      </c>
      <c r="G13" s="24" t="s">
        <v>92</v>
      </c>
      <c r="H13" s="25">
        <v>43867</v>
      </c>
      <c r="I13" s="24">
        <v>78</v>
      </c>
      <c r="J13" s="35">
        <v>43783</v>
      </c>
      <c r="K13" s="53" t="s">
        <v>259</v>
      </c>
    </row>
    <row r="14" spans="1:11" ht="31.5" x14ac:dyDescent="0.25">
      <c r="A14" s="24">
        <v>10</v>
      </c>
      <c r="B14" s="24" t="s">
        <v>95</v>
      </c>
      <c r="C14" s="24" t="s">
        <v>96</v>
      </c>
      <c r="D14" s="24" t="s">
        <v>554</v>
      </c>
      <c r="E14" s="25">
        <v>5762175734</v>
      </c>
      <c r="F14" s="25">
        <v>27870</v>
      </c>
      <c r="G14" s="24" t="s">
        <v>97</v>
      </c>
      <c r="H14" s="25">
        <v>43866</v>
      </c>
      <c r="I14" s="24">
        <v>348</v>
      </c>
      <c r="J14" s="35">
        <v>43769</v>
      </c>
      <c r="K14" s="53" t="s">
        <v>260</v>
      </c>
    </row>
    <row r="15" spans="1:11" ht="47.25" x14ac:dyDescent="0.25">
      <c r="A15" s="24" t="s">
        <v>28</v>
      </c>
      <c r="B15" s="24" t="s">
        <v>238</v>
      </c>
      <c r="C15" s="24" t="s">
        <v>96</v>
      </c>
      <c r="D15" s="24" t="s">
        <v>554</v>
      </c>
      <c r="E15" s="25">
        <v>737891954</v>
      </c>
      <c r="F15" s="25">
        <v>0</v>
      </c>
      <c r="G15" s="24" t="s">
        <v>123</v>
      </c>
      <c r="H15" s="25">
        <v>44025</v>
      </c>
      <c r="I15" s="24">
        <v>0</v>
      </c>
      <c r="J15" s="35">
        <v>43983</v>
      </c>
      <c r="K15" s="53" t="s">
        <v>260</v>
      </c>
    </row>
    <row r="16" spans="1:11" ht="63" x14ac:dyDescent="0.25">
      <c r="A16" s="24">
        <v>11</v>
      </c>
      <c r="B16" s="24" t="s">
        <v>349</v>
      </c>
      <c r="C16" s="24" t="s">
        <v>132</v>
      </c>
      <c r="D16" s="24" t="s">
        <v>536</v>
      </c>
      <c r="E16" s="25">
        <v>1136489476</v>
      </c>
      <c r="F16" s="25">
        <v>7918.13</v>
      </c>
      <c r="G16" s="24" t="s">
        <v>133</v>
      </c>
      <c r="H16" s="25">
        <v>43670</v>
      </c>
      <c r="I16" s="24">
        <v>85</v>
      </c>
      <c r="J16" s="35">
        <v>43956</v>
      </c>
      <c r="K16" s="53" t="s">
        <v>278</v>
      </c>
    </row>
    <row r="17" spans="1:11" ht="39" customHeight="1" x14ac:dyDescent="0.25">
      <c r="A17" s="24">
        <v>12</v>
      </c>
      <c r="B17" s="24" t="s">
        <v>119</v>
      </c>
      <c r="C17" s="24" t="s">
        <v>120</v>
      </c>
      <c r="D17" s="24" t="s">
        <v>561</v>
      </c>
      <c r="E17" s="25">
        <v>4348889709</v>
      </c>
      <c r="F17" s="25">
        <v>33739.339999999997</v>
      </c>
      <c r="G17" s="24" t="s">
        <v>121</v>
      </c>
      <c r="H17" s="25">
        <v>44039</v>
      </c>
      <c r="I17" s="24">
        <v>352</v>
      </c>
      <c r="J17" s="35">
        <v>43589</v>
      </c>
      <c r="K17" s="35">
        <v>44838</v>
      </c>
    </row>
    <row r="18" spans="1:11" ht="47.25" x14ac:dyDescent="0.25">
      <c r="A18" s="24">
        <v>13</v>
      </c>
      <c r="B18" s="24" t="s">
        <v>418</v>
      </c>
      <c r="C18" s="24" t="s">
        <v>117</v>
      </c>
      <c r="D18" s="24" t="s">
        <v>551</v>
      </c>
      <c r="E18" s="25">
        <v>7001848587</v>
      </c>
      <c r="F18" s="25">
        <v>55789.440000000002</v>
      </c>
      <c r="G18" s="24" t="s">
        <v>118</v>
      </c>
      <c r="H18" s="25">
        <v>43999</v>
      </c>
      <c r="I18" s="24">
        <v>864</v>
      </c>
      <c r="J18" s="35">
        <v>43977</v>
      </c>
      <c r="K18" s="53" t="s">
        <v>300</v>
      </c>
    </row>
    <row r="19" spans="1:11" ht="41.25" customHeight="1" x14ac:dyDescent="0.25">
      <c r="A19" s="24">
        <v>14</v>
      </c>
      <c r="B19" s="24" t="s">
        <v>348</v>
      </c>
      <c r="C19" s="24" t="s">
        <v>143</v>
      </c>
      <c r="D19" s="24" t="s">
        <v>583</v>
      </c>
      <c r="E19" s="25">
        <v>2855648417</v>
      </c>
      <c r="F19" s="25">
        <v>13898.8</v>
      </c>
      <c r="G19" s="24" t="s">
        <v>144</v>
      </c>
      <c r="H19" s="25">
        <v>44209</v>
      </c>
      <c r="I19" s="24">
        <v>126</v>
      </c>
      <c r="J19" s="35">
        <v>44096</v>
      </c>
      <c r="K19" s="53" t="s">
        <v>305</v>
      </c>
    </row>
    <row r="20" spans="1:11" ht="43.5" customHeight="1" x14ac:dyDescent="0.25">
      <c r="A20" s="24" t="s">
        <v>28</v>
      </c>
      <c r="B20" s="24" t="s">
        <v>237</v>
      </c>
      <c r="C20" s="24" t="s">
        <v>36</v>
      </c>
      <c r="D20" s="24" t="s">
        <v>554</v>
      </c>
      <c r="E20" s="25">
        <v>1323442100</v>
      </c>
      <c r="F20" s="25">
        <v>0</v>
      </c>
      <c r="G20" s="24" t="s">
        <v>114</v>
      </c>
      <c r="H20" s="25">
        <v>43970</v>
      </c>
      <c r="I20" s="24">
        <v>0</v>
      </c>
      <c r="J20" s="35">
        <v>43928</v>
      </c>
      <c r="K20" s="53" t="s">
        <v>318</v>
      </c>
    </row>
    <row r="21" spans="1:11" ht="38.25" customHeight="1" x14ac:dyDescent="0.25">
      <c r="A21" s="24">
        <v>15</v>
      </c>
      <c r="B21" s="24" t="s">
        <v>98</v>
      </c>
      <c r="C21" s="24" t="s">
        <v>99</v>
      </c>
      <c r="D21" s="24" t="s">
        <v>554</v>
      </c>
      <c r="E21" s="25">
        <v>5840045029</v>
      </c>
      <c r="F21" s="25">
        <v>31002.69</v>
      </c>
      <c r="G21" s="24" t="s">
        <v>100</v>
      </c>
      <c r="H21" s="25">
        <v>43866</v>
      </c>
      <c r="I21" s="24">
        <v>334</v>
      </c>
      <c r="J21" s="35">
        <v>43839</v>
      </c>
      <c r="K21" s="53" t="s">
        <v>319</v>
      </c>
    </row>
    <row r="22" spans="1:11" ht="63" x14ac:dyDescent="0.25">
      <c r="A22" s="24">
        <v>16</v>
      </c>
      <c r="B22" s="24" t="s">
        <v>347</v>
      </c>
      <c r="C22" s="24" t="s">
        <v>127</v>
      </c>
      <c r="D22" s="24" t="s">
        <v>536</v>
      </c>
      <c r="E22" s="25">
        <v>2015148840</v>
      </c>
      <c r="F22" s="25">
        <v>12132.8</v>
      </c>
      <c r="G22" s="24" t="s">
        <v>128</v>
      </c>
      <c r="H22" s="25">
        <v>44063</v>
      </c>
      <c r="I22" s="24">
        <v>88</v>
      </c>
      <c r="J22" s="35">
        <v>43955</v>
      </c>
      <c r="K22" s="53" t="s">
        <v>320</v>
      </c>
    </row>
    <row r="23" spans="1:11" ht="51.75" customHeight="1" x14ac:dyDescent="0.25">
      <c r="A23" s="24">
        <v>17</v>
      </c>
      <c r="B23" s="24" t="s">
        <v>134</v>
      </c>
      <c r="C23" s="24" t="s">
        <v>135</v>
      </c>
      <c r="D23" s="24" t="s">
        <v>584</v>
      </c>
      <c r="E23" s="25">
        <f>6150332110+2346373661</f>
        <v>8496705771</v>
      </c>
      <c r="F23" s="25">
        <v>34788.65</v>
      </c>
      <c r="G23" s="24" t="s">
        <v>136</v>
      </c>
      <c r="H23" s="25">
        <v>44091</v>
      </c>
      <c r="I23" s="24">
        <v>224</v>
      </c>
      <c r="J23" s="35">
        <v>44055</v>
      </c>
      <c r="K23" s="35">
        <v>44846</v>
      </c>
    </row>
    <row r="24" spans="1:11" ht="63" x14ac:dyDescent="0.25">
      <c r="A24" s="24">
        <v>18</v>
      </c>
      <c r="B24" s="24" t="s">
        <v>365</v>
      </c>
      <c r="C24" s="24" t="s">
        <v>65</v>
      </c>
      <c r="D24" s="24" t="s">
        <v>536</v>
      </c>
      <c r="E24" s="25">
        <v>3066214650</v>
      </c>
      <c r="F24" s="25">
        <v>15109.69</v>
      </c>
      <c r="G24" s="24" t="s">
        <v>140</v>
      </c>
      <c r="H24" s="25">
        <v>44154</v>
      </c>
      <c r="I24" s="24">
        <v>119</v>
      </c>
      <c r="J24" s="35">
        <v>43998</v>
      </c>
      <c r="K24" s="53" t="s">
        <v>321</v>
      </c>
    </row>
    <row r="25" spans="1:11" ht="31.5" x14ac:dyDescent="0.25">
      <c r="A25" s="24">
        <v>19</v>
      </c>
      <c r="B25" s="24" t="s">
        <v>141</v>
      </c>
      <c r="C25" s="24" t="s">
        <v>80</v>
      </c>
      <c r="D25" s="24" t="s">
        <v>580</v>
      </c>
      <c r="E25" s="25">
        <v>3080917422</v>
      </c>
      <c r="F25" s="25">
        <v>59963.8</v>
      </c>
      <c r="G25" s="24" t="s">
        <v>142</v>
      </c>
      <c r="H25" s="25">
        <v>44179</v>
      </c>
      <c r="I25" s="24">
        <v>832</v>
      </c>
      <c r="J25" s="35">
        <v>44118</v>
      </c>
      <c r="K25" s="53" t="s">
        <v>362</v>
      </c>
    </row>
    <row r="26" spans="1:11" ht="31.5" x14ac:dyDescent="0.25">
      <c r="A26" s="24">
        <v>20</v>
      </c>
      <c r="B26" s="24" t="s">
        <v>351</v>
      </c>
      <c r="C26" s="24" t="s">
        <v>96</v>
      </c>
      <c r="D26" s="24" t="s">
        <v>554</v>
      </c>
      <c r="E26" s="25">
        <v>4767699843</v>
      </c>
      <c r="F26" s="25">
        <v>21896</v>
      </c>
      <c r="G26" s="24" t="s">
        <v>126</v>
      </c>
      <c r="H26" s="25">
        <v>44062</v>
      </c>
      <c r="I26" s="24">
        <v>239</v>
      </c>
      <c r="J26" s="35">
        <v>44001</v>
      </c>
      <c r="K26" s="53" t="s">
        <v>388</v>
      </c>
    </row>
    <row r="27" spans="1:11" ht="39.75" customHeight="1" x14ac:dyDescent="0.25">
      <c r="A27" s="24">
        <v>21</v>
      </c>
      <c r="B27" s="24" t="s">
        <v>211</v>
      </c>
      <c r="C27" s="24" t="s">
        <v>93</v>
      </c>
      <c r="D27" s="24" t="s">
        <v>554</v>
      </c>
      <c r="E27" s="25">
        <v>9154023704</v>
      </c>
      <c r="F27" s="25">
        <v>35661.699999999997</v>
      </c>
      <c r="G27" s="24" t="s">
        <v>94</v>
      </c>
      <c r="H27" s="25">
        <v>43866</v>
      </c>
      <c r="I27" s="24">
        <v>357</v>
      </c>
      <c r="J27" s="35">
        <v>43843</v>
      </c>
      <c r="K27" s="53" t="s">
        <v>405</v>
      </c>
    </row>
    <row r="28" spans="1:11" ht="41.25" customHeight="1" x14ac:dyDescent="0.25">
      <c r="A28" s="24">
        <v>22</v>
      </c>
      <c r="B28" s="24" t="s">
        <v>103</v>
      </c>
      <c r="C28" s="24" t="s">
        <v>104</v>
      </c>
      <c r="D28" s="24" t="s">
        <v>585</v>
      </c>
      <c r="E28" s="25">
        <v>5767382086</v>
      </c>
      <c r="F28" s="25">
        <v>27950.19</v>
      </c>
      <c r="G28" s="24" t="s">
        <v>105</v>
      </c>
      <c r="H28" s="25">
        <v>43903</v>
      </c>
      <c r="I28" s="24">
        <v>173</v>
      </c>
      <c r="J28" s="35">
        <v>43817</v>
      </c>
      <c r="K28" s="53" t="s">
        <v>422</v>
      </c>
    </row>
    <row r="29" spans="1:11" ht="47.25" x14ac:dyDescent="0.25">
      <c r="A29" s="24">
        <v>23</v>
      </c>
      <c r="B29" s="24" t="s">
        <v>419</v>
      </c>
      <c r="C29" s="24" t="s">
        <v>70</v>
      </c>
      <c r="D29" s="24" t="s">
        <v>551</v>
      </c>
      <c r="E29" s="25">
        <v>6057003488</v>
      </c>
      <c r="F29" s="25">
        <v>39655.800000000003</v>
      </c>
      <c r="G29" s="24" t="s">
        <v>122</v>
      </c>
      <c r="H29" s="25">
        <v>44016</v>
      </c>
      <c r="I29" s="24">
        <v>484</v>
      </c>
      <c r="J29" s="35">
        <v>43998</v>
      </c>
      <c r="K29" s="53" t="s">
        <v>421</v>
      </c>
    </row>
    <row r="30" spans="1:11" ht="47.25" x14ac:dyDescent="0.25">
      <c r="A30" s="24">
        <v>24</v>
      </c>
      <c r="B30" s="24" t="s">
        <v>420</v>
      </c>
      <c r="C30" s="24" t="s">
        <v>70</v>
      </c>
      <c r="D30" s="24" t="s">
        <v>551</v>
      </c>
      <c r="E30" s="25">
        <v>2350110287</v>
      </c>
      <c r="F30" s="25">
        <v>16432.3</v>
      </c>
      <c r="G30" s="24" t="s">
        <v>124</v>
      </c>
      <c r="H30" s="25">
        <v>44060</v>
      </c>
      <c r="I30" s="24">
        <v>208</v>
      </c>
      <c r="J30" s="35">
        <v>43998</v>
      </c>
      <c r="K30" s="53" t="s">
        <v>421</v>
      </c>
    </row>
    <row r="31" spans="1:11" ht="31.5" x14ac:dyDescent="0.25">
      <c r="A31" s="24">
        <v>25</v>
      </c>
      <c r="B31" s="24" t="s">
        <v>350</v>
      </c>
      <c r="C31" s="24" t="s">
        <v>108</v>
      </c>
      <c r="D31" s="24" t="s">
        <v>554</v>
      </c>
      <c r="E31" s="25">
        <v>4490419686</v>
      </c>
      <c r="F31" s="25">
        <v>19814.66</v>
      </c>
      <c r="G31" s="24" t="s">
        <v>109</v>
      </c>
      <c r="H31" s="25">
        <v>43878</v>
      </c>
      <c r="I31" s="24">
        <v>278</v>
      </c>
      <c r="J31" s="35">
        <v>43784</v>
      </c>
      <c r="K31" s="53" t="s">
        <v>415</v>
      </c>
    </row>
    <row r="32" spans="1:11" ht="31.5" x14ac:dyDescent="0.25">
      <c r="A32" s="24">
        <v>26</v>
      </c>
      <c r="B32" s="24" t="s">
        <v>525</v>
      </c>
      <c r="C32" s="24" t="s">
        <v>108</v>
      </c>
      <c r="D32" s="24" t="s">
        <v>554</v>
      </c>
      <c r="E32" s="25">
        <v>5708411131</v>
      </c>
      <c r="F32" s="25">
        <v>31505.3</v>
      </c>
      <c r="G32" s="24" t="s">
        <v>115</v>
      </c>
      <c r="H32" s="25">
        <v>44154</v>
      </c>
      <c r="I32" s="24">
        <v>416</v>
      </c>
      <c r="J32" s="35">
        <v>43892</v>
      </c>
      <c r="K32" s="53" t="s">
        <v>425</v>
      </c>
    </row>
    <row r="33" spans="1:11" ht="63" x14ac:dyDescent="0.25">
      <c r="A33" s="24">
        <v>27</v>
      </c>
      <c r="B33" s="24" t="s">
        <v>524</v>
      </c>
      <c r="C33" s="24" t="s">
        <v>145</v>
      </c>
      <c r="D33" s="24" t="s">
        <v>536</v>
      </c>
      <c r="E33" s="25">
        <v>2608583568</v>
      </c>
      <c r="F33" s="25">
        <v>16101.6</v>
      </c>
      <c r="G33" s="24" t="s">
        <v>146</v>
      </c>
      <c r="H33" s="25">
        <v>44193</v>
      </c>
      <c r="I33" s="24">
        <v>116</v>
      </c>
      <c r="J33" s="35">
        <v>43986</v>
      </c>
      <c r="K33" s="53" t="s">
        <v>415</v>
      </c>
    </row>
    <row r="34" spans="1:11" ht="63" x14ac:dyDescent="0.25">
      <c r="A34" s="24">
        <v>28</v>
      </c>
      <c r="B34" s="24" t="s">
        <v>523</v>
      </c>
      <c r="C34" s="24" t="s">
        <v>147</v>
      </c>
      <c r="D34" s="24" t="s">
        <v>536</v>
      </c>
      <c r="E34" s="25">
        <v>1657025210</v>
      </c>
      <c r="F34" s="25">
        <v>12551.1</v>
      </c>
      <c r="G34" s="24" t="s">
        <v>148</v>
      </c>
      <c r="H34" s="25">
        <v>44195</v>
      </c>
      <c r="I34" s="24">
        <v>171</v>
      </c>
      <c r="J34" s="35">
        <v>44090</v>
      </c>
      <c r="K34" s="53" t="s">
        <v>415</v>
      </c>
    </row>
    <row r="35" spans="1:11" ht="63" x14ac:dyDescent="0.25">
      <c r="A35" s="24">
        <v>29</v>
      </c>
      <c r="B35" s="24" t="s">
        <v>137</v>
      </c>
      <c r="C35" s="24" t="s">
        <v>138</v>
      </c>
      <c r="D35" s="24" t="s">
        <v>558</v>
      </c>
      <c r="E35" s="25">
        <v>4323925897</v>
      </c>
      <c r="F35" s="25">
        <v>17609.2</v>
      </c>
      <c r="G35" s="24" t="s">
        <v>139</v>
      </c>
      <c r="H35" s="25">
        <v>44165</v>
      </c>
      <c r="I35" s="24">
        <v>237</v>
      </c>
      <c r="J35" s="35">
        <v>44090</v>
      </c>
      <c r="K35" s="53" t="s">
        <v>503</v>
      </c>
    </row>
  </sheetData>
  <mergeCells count="1">
    <mergeCell ref="A3:C3"/>
  </mergeCells>
  <pageMargins left="0.23622047244094491" right="0.15748031496062992" top="0.43307086614173229" bottom="0.47244094488188981" header="0.31496062992125984" footer="0.31496062992125984"/>
  <pageSetup paperSize="9" scale="35" fitToHeight="0" orientation="landscape" r:id="rId1"/>
  <headerFooter>
    <oddFooter>&amp;C&amp;P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32"/>
  <sheetViews>
    <sheetView view="pageLayout" topLeftCell="A4" zoomScale="80" zoomScalePageLayoutView="80" workbookViewId="0">
      <selection activeCell="E25" sqref="E25"/>
    </sheetView>
  </sheetViews>
  <sheetFormatPr defaultColWidth="9.28515625" defaultRowHeight="15.75" x14ac:dyDescent="0.25"/>
  <cols>
    <col min="1" max="1" width="9.28515625" style="4"/>
    <col min="2" max="2" width="6.7109375" style="4" customWidth="1"/>
    <col min="3" max="3" width="47" style="4" customWidth="1"/>
    <col min="4" max="4" width="72.42578125" style="4" customWidth="1"/>
    <col min="5" max="5" width="72.5703125" style="4" customWidth="1"/>
    <col min="6" max="16384" width="9.28515625" style="4"/>
  </cols>
  <sheetData>
    <row r="2" spans="2:6" x14ac:dyDescent="0.25">
      <c r="D2" s="3" t="s">
        <v>1</v>
      </c>
      <c r="E2" s="16" t="s">
        <v>19</v>
      </c>
    </row>
    <row r="4" spans="2:6" s="8" customFormat="1" x14ac:dyDescent="0.25">
      <c r="B4" s="5" t="s">
        <v>17</v>
      </c>
      <c r="C4" s="6" t="s">
        <v>11</v>
      </c>
      <c r="D4" s="6" t="s">
        <v>4</v>
      </c>
      <c r="E4" s="7" t="s">
        <v>3</v>
      </c>
    </row>
    <row r="5" spans="2:6" ht="56.25" customHeight="1" x14ac:dyDescent="0.25">
      <c r="B5" s="9">
        <v>1</v>
      </c>
      <c r="C5" s="10" t="s">
        <v>2</v>
      </c>
      <c r="D5" s="11" t="s">
        <v>8</v>
      </c>
      <c r="E5" s="11" t="s">
        <v>10</v>
      </c>
    </row>
    <row r="6" spans="2:6" ht="57" customHeight="1" x14ac:dyDescent="0.25">
      <c r="B6" s="9">
        <v>2</v>
      </c>
      <c r="C6" s="10" t="s">
        <v>6</v>
      </c>
      <c r="D6" s="11" t="s">
        <v>9</v>
      </c>
      <c r="E6" s="11" t="s">
        <v>12</v>
      </c>
    </row>
    <row r="7" spans="2:6" ht="144" customHeight="1" x14ac:dyDescent="0.25">
      <c r="B7" s="9">
        <v>3</v>
      </c>
      <c r="C7" s="10" t="s">
        <v>5</v>
      </c>
      <c r="D7" s="11" t="s">
        <v>22</v>
      </c>
      <c r="E7" s="11" t="s">
        <v>21</v>
      </c>
    </row>
    <row r="8" spans="2:6" ht="100.5" customHeight="1" x14ac:dyDescent="0.25">
      <c r="B8" s="9">
        <v>4</v>
      </c>
      <c r="C8" s="12" t="s">
        <v>7</v>
      </c>
      <c r="D8" s="13" t="s">
        <v>13</v>
      </c>
      <c r="E8" s="11" t="s">
        <v>20</v>
      </c>
    </row>
    <row r="9" spans="2:6" ht="31.5" x14ac:dyDescent="0.25">
      <c r="B9" s="9">
        <v>5</v>
      </c>
      <c r="C9" s="14" t="s">
        <v>16</v>
      </c>
      <c r="D9" s="15" t="s">
        <v>14</v>
      </c>
      <c r="E9" s="13" t="s">
        <v>15</v>
      </c>
    </row>
    <row r="15" spans="2:6" ht="18.75" x14ac:dyDescent="0.3">
      <c r="F15" s="2"/>
    </row>
    <row r="32" spans="5:5" x14ac:dyDescent="0.25">
      <c r="E32" s="1">
        <v>7</v>
      </c>
    </row>
  </sheetData>
  <pageMargins left="0.70866141732283472" right="0.70866141732283472" top="0.74803149606299213" bottom="0.74803149606299213" header="0.31496062992125984" footer="0.31496062992125984"/>
  <pageSetup paperSize="9" scale="6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6</vt:i4>
      </vt:variant>
    </vt:vector>
  </HeadingPairs>
  <TitlesOfParts>
    <vt:vector size="23" baseType="lpstr">
      <vt:lpstr>Лист4</vt:lpstr>
      <vt:lpstr>Действующие</vt:lpstr>
      <vt:lpstr>Завершенные</vt:lpstr>
      <vt:lpstr>Лист2</vt:lpstr>
      <vt:lpstr>На рассмотрении</vt:lpstr>
      <vt:lpstr>На модерации</vt:lpstr>
      <vt:lpstr>Отказ и расторжение</vt:lpstr>
      <vt:lpstr>Отозванные</vt:lpstr>
      <vt:lpstr>СВОД ПО ГОДАМ</vt:lpstr>
      <vt:lpstr>тех.вопросы</vt:lpstr>
      <vt:lpstr>pipeline</vt:lpstr>
      <vt:lpstr>Лист3</vt:lpstr>
      <vt:lpstr>Лист1</vt:lpstr>
      <vt:lpstr>2022 год</vt:lpstr>
      <vt:lpstr>2021 год </vt:lpstr>
      <vt:lpstr>2020 год</vt:lpstr>
      <vt:lpstr>Этапы сбора документов</vt:lpstr>
      <vt:lpstr>pipeline!Область_печати</vt:lpstr>
      <vt:lpstr>Действующие!Область_печати</vt:lpstr>
      <vt:lpstr>Завершенные!Область_печати</vt:lpstr>
      <vt:lpstr>'На рассмотрении'!Область_печати</vt:lpstr>
      <vt:lpstr>'Отказ и расторжение'!Область_печати</vt:lpstr>
      <vt:lpstr>тех.вопросы!Область_печати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sayakova_zh;admin.hgf;Уринбасарова Молдир Манасовна</dc:creator>
  <cp:lastModifiedBy>Курмангалиев Марат Галиевич</cp:lastModifiedBy>
  <cp:lastPrinted>2024-10-08T10:56:41Z</cp:lastPrinted>
  <dcterms:created xsi:type="dcterms:W3CDTF">2017-12-04T03:52:08Z</dcterms:created>
  <dcterms:modified xsi:type="dcterms:W3CDTF">2024-10-30T14:07:07Z</dcterms:modified>
</cp:coreProperties>
</file>